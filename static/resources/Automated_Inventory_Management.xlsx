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35DE2DC-D481-40C2-B3FD-C4A975392931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Dashboard" sheetId="2" r:id="rId1"/>
    <sheet name="Inventory" sheetId="3" r:id="rId2"/>
    <sheet name="Stock In" sheetId="4" r:id="rId3"/>
    <sheet name="Stock Out" sheetId="5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1" i="5" l="1"/>
  <c r="E101" i="5"/>
  <c r="C101" i="5"/>
  <c r="F100" i="5"/>
  <c r="E100" i="5"/>
  <c r="C100" i="5"/>
  <c r="F99" i="5"/>
  <c r="E99" i="5"/>
  <c r="C99" i="5"/>
  <c r="F98" i="5"/>
  <c r="E98" i="5"/>
  <c r="C98" i="5"/>
  <c r="F97" i="5"/>
  <c r="E97" i="5"/>
  <c r="C97" i="5"/>
  <c r="F96" i="5"/>
  <c r="E96" i="5"/>
  <c r="C96" i="5"/>
  <c r="F95" i="5"/>
  <c r="E95" i="5"/>
  <c r="C95" i="5"/>
  <c r="F94" i="5"/>
  <c r="E94" i="5"/>
  <c r="C94" i="5"/>
  <c r="F93" i="5"/>
  <c r="E93" i="5"/>
  <c r="C93" i="5"/>
  <c r="F92" i="5"/>
  <c r="E92" i="5"/>
  <c r="C92" i="5"/>
  <c r="F91" i="5"/>
  <c r="E91" i="5"/>
  <c r="C91" i="5"/>
  <c r="F90" i="5"/>
  <c r="E90" i="5"/>
  <c r="C90" i="5"/>
  <c r="F89" i="5"/>
  <c r="E89" i="5"/>
  <c r="C89" i="5"/>
  <c r="F88" i="5"/>
  <c r="E88" i="5"/>
  <c r="C88" i="5"/>
  <c r="F87" i="5"/>
  <c r="E87" i="5"/>
  <c r="C87" i="5"/>
  <c r="F86" i="5"/>
  <c r="E86" i="5"/>
  <c r="C86" i="5"/>
  <c r="F85" i="5"/>
  <c r="E85" i="5"/>
  <c r="C85" i="5"/>
  <c r="F84" i="5"/>
  <c r="E84" i="5"/>
  <c r="C84" i="5"/>
  <c r="F83" i="5"/>
  <c r="E83" i="5"/>
  <c r="C83" i="5"/>
  <c r="F82" i="5"/>
  <c r="E82" i="5"/>
  <c r="C82" i="5"/>
  <c r="F81" i="5"/>
  <c r="E81" i="5"/>
  <c r="C81" i="5"/>
  <c r="F80" i="5"/>
  <c r="E80" i="5"/>
  <c r="C80" i="5"/>
  <c r="F79" i="5"/>
  <c r="E79" i="5"/>
  <c r="C79" i="5"/>
  <c r="F78" i="5"/>
  <c r="E78" i="5"/>
  <c r="C78" i="5"/>
  <c r="F77" i="5"/>
  <c r="E77" i="5"/>
  <c r="C77" i="5"/>
  <c r="F76" i="5"/>
  <c r="E76" i="5"/>
  <c r="C76" i="5"/>
  <c r="F75" i="5"/>
  <c r="E75" i="5"/>
  <c r="C75" i="5"/>
  <c r="F74" i="5"/>
  <c r="E74" i="5"/>
  <c r="C74" i="5"/>
  <c r="F73" i="5"/>
  <c r="E73" i="5"/>
  <c r="C73" i="5"/>
  <c r="F72" i="5"/>
  <c r="E72" i="5"/>
  <c r="C72" i="5"/>
  <c r="F71" i="5"/>
  <c r="E71" i="5"/>
  <c r="C71" i="5"/>
  <c r="F70" i="5"/>
  <c r="E70" i="5"/>
  <c r="C70" i="5"/>
  <c r="F69" i="5"/>
  <c r="E69" i="5"/>
  <c r="C69" i="5"/>
  <c r="F68" i="5"/>
  <c r="E68" i="5"/>
  <c r="C68" i="5"/>
  <c r="F67" i="5"/>
  <c r="E67" i="5"/>
  <c r="C67" i="5"/>
  <c r="F66" i="5"/>
  <c r="E66" i="5"/>
  <c r="C66" i="5"/>
  <c r="F65" i="5"/>
  <c r="E65" i="5"/>
  <c r="C65" i="5"/>
  <c r="F64" i="5"/>
  <c r="E64" i="5"/>
  <c r="C64" i="5"/>
  <c r="F63" i="5"/>
  <c r="E63" i="5"/>
  <c r="C63" i="5"/>
  <c r="F62" i="5"/>
  <c r="E62" i="5"/>
  <c r="C62" i="5"/>
  <c r="F61" i="5"/>
  <c r="E61" i="5"/>
  <c r="C61" i="5"/>
  <c r="F60" i="5"/>
  <c r="E60" i="5"/>
  <c r="C60" i="5"/>
  <c r="F59" i="5"/>
  <c r="E59" i="5"/>
  <c r="C59" i="5"/>
  <c r="F58" i="5"/>
  <c r="E58" i="5"/>
  <c r="C58" i="5"/>
  <c r="F57" i="5"/>
  <c r="E57" i="5"/>
  <c r="C57" i="5"/>
  <c r="F56" i="5"/>
  <c r="E56" i="5"/>
  <c r="C56" i="5"/>
  <c r="F55" i="5"/>
  <c r="E55" i="5"/>
  <c r="C55" i="5"/>
  <c r="F54" i="5"/>
  <c r="E54" i="5"/>
  <c r="C54" i="5"/>
  <c r="F53" i="5"/>
  <c r="E53" i="5"/>
  <c r="C53" i="5"/>
  <c r="F52" i="5"/>
  <c r="E52" i="5"/>
  <c r="C52" i="5"/>
  <c r="F51" i="5"/>
  <c r="E51" i="5"/>
  <c r="C51" i="5"/>
  <c r="F50" i="5"/>
  <c r="E50" i="5"/>
  <c r="C50" i="5"/>
  <c r="F49" i="5"/>
  <c r="E49" i="5"/>
  <c r="C49" i="5"/>
  <c r="F48" i="5"/>
  <c r="E48" i="5"/>
  <c r="C48" i="5"/>
  <c r="F47" i="5"/>
  <c r="E47" i="5"/>
  <c r="C47" i="5"/>
  <c r="F46" i="5"/>
  <c r="E46" i="5"/>
  <c r="C46" i="5"/>
  <c r="F45" i="5"/>
  <c r="E45" i="5"/>
  <c r="C45" i="5"/>
  <c r="F44" i="5"/>
  <c r="E44" i="5"/>
  <c r="C44" i="5"/>
  <c r="F43" i="5"/>
  <c r="E43" i="5"/>
  <c r="C43" i="5"/>
  <c r="F42" i="5"/>
  <c r="E42" i="5"/>
  <c r="C42" i="5"/>
  <c r="F41" i="5"/>
  <c r="E41" i="5"/>
  <c r="C41" i="5"/>
  <c r="F40" i="5"/>
  <c r="E40" i="5"/>
  <c r="C40" i="5"/>
  <c r="F39" i="5"/>
  <c r="E39" i="5"/>
  <c r="C39" i="5"/>
  <c r="F38" i="5"/>
  <c r="E38" i="5"/>
  <c r="C38" i="5"/>
  <c r="F37" i="5"/>
  <c r="E37" i="5"/>
  <c r="C37" i="5"/>
  <c r="F36" i="5"/>
  <c r="E36" i="5"/>
  <c r="C36" i="5"/>
  <c r="F35" i="5"/>
  <c r="E35" i="5"/>
  <c r="C35" i="5"/>
  <c r="F34" i="5"/>
  <c r="E34" i="5"/>
  <c r="C34" i="5"/>
  <c r="F33" i="5"/>
  <c r="E33" i="5"/>
  <c r="C33" i="5"/>
  <c r="F32" i="5"/>
  <c r="E32" i="5"/>
  <c r="C32" i="5"/>
  <c r="F31" i="5"/>
  <c r="E31" i="5"/>
  <c r="C31" i="5"/>
  <c r="F30" i="5"/>
  <c r="E30" i="5"/>
  <c r="C30" i="5"/>
  <c r="F29" i="5"/>
  <c r="E29" i="5"/>
  <c r="C29" i="5"/>
  <c r="F28" i="5"/>
  <c r="E28" i="5"/>
  <c r="C28" i="5"/>
  <c r="F27" i="5"/>
  <c r="E27" i="5"/>
  <c r="C27" i="5"/>
  <c r="F26" i="5"/>
  <c r="E26" i="5"/>
  <c r="C26" i="5"/>
  <c r="F25" i="5"/>
  <c r="E25" i="5"/>
  <c r="C25" i="5"/>
  <c r="F24" i="5"/>
  <c r="E24" i="5"/>
  <c r="C24" i="5"/>
  <c r="F23" i="5"/>
  <c r="E23" i="5"/>
  <c r="C23" i="5"/>
  <c r="F22" i="5"/>
  <c r="E22" i="5"/>
  <c r="C22" i="5"/>
  <c r="F21" i="5"/>
  <c r="E21" i="5"/>
  <c r="C21" i="5"/>
  <c r="F20" i="5"/>
  <c r="E20" i="5"/>
  <c r="C20" i="5"/>
  <c r="F19" i="5"/>
  <c r="E19" i="5"/>
  <c r="C19" i="5"/>
  <c r="F18" i="5"/>
  <c r="E18" i="5"/>
  <c r="C18" i="5"/>
  <c r="F17" i="5"/>
  <c r="E17" i="5"/>
  <c r="C17" i="5"/>
  <c r="F16" i="5"/>
  <c r="E16" i="5"/>
  <c r="C16" i="5"/>
  <c r="F15" i="5"/>
  <c r="E15" i="5"/>
  <c r="C15" i="5"/>
  <c r="F14" i="5"/>
  <c r="E14" i="5"/>
  <c r="C14" i="5"/>
  <c r="F13" i="5"/>
  <c r="E13" i="5"/>
  <c r="C13" i="5"/>
  <c r="F12" i="5"/>
  <c r="E12" i="5"/>
  <c r="C12" i="5"/>
  <c r="F11" i="5"/>
  <c r="E11" i="5"/>
  <c r="C11" i="5"/>
  <c r="F10" i="5"/>
  <c r="E10" i="5"/>
  <c r="C10" i="5"/>
  <c r="F9" i="5"/>
  <c r="E9" i="5"/>
  <c r="C9" i="5"/>
  <c r="F8" i="5"/>
  <c r="E8" i="5"/>
  <c r="C8" i="5"/>
  <c r="F7" i="5"/>
  <c r="E7" i="5"/>
  <c r="C7" i="5"/>
  <c r="E6" i="5"/>
  <c r="F6" i="5" s="1"/>
  <c r="C6" i="5"/>
  <c r="E5" i="5"/>
  <c r="F5" i="5" s="1"/>
  <c r="C5" i="5"/>
  <c r="E4" i="5"/>
  <c r="F4" i="5" s="1"/>
  <c r="C4" i="5"/>
  <c r="E3" i="5"/>
  <c r="F3" i="5" s="1"/>
  <c r="C3" i="5"/>
  <c r="E2" i="5"/>
  <c r="F2" i="5" s="1"/>
  <c r="C2" i="5"/>
  <c r="F101" i="4"/>
  <c r="E101" i="4"/>
  <c r="C101" i="4"/>
  <c r="F100" i="4"/>
  <c r="E100" i="4"/>
  <c r="C100" i="4"/>
  <c r="F99" i="4"/>
  <c r="E99" i="4"/>
  <c r="C99" i="4"/>
  <c r="F98" i="4"/>
  <c r="E98" i="4"/>
  <c r="C98" i="4"/>
  <c r="F97" i="4"/>
  <c r="E97" i="4"/>
  <c r="C97" i="4"/>
  <c r="F96" i="4"/>
  <c r="E96" i="4"/>
  <c r="C96" i="4"/>
  <c r="F95" i="4"/>
  <c r="E95" i="4"/>
  <c r="C95" i="4"/>
  <c r="F94" i="4"/>
  <c r="E94" i="4"/>
  <c r="C94" i="4"/>
  <c r="F93" i="4"/>
  <c r="E93" i="4"/>
  <c r="C93" i="4"/>
  <c r="F92" i="4"/>
  <c r="E92" i="4"/>
  <c r="C92" i="4"/>
  <c r="F91" i="4"/>
  <c r="E91" i="4"/>
  <c r="C91" i="4"/>
  <c r="F90" i="4"/>
  <c r="E90" i="4"/>
  <c r="C90" i="4"/>
  <c r="F89" i="4"/>
  <c r="E89" i="4"/>
  <c r="C89" i="4"/>
  <c r="F88" i="4"/>
  <c r="E88" i="4"/>
  <c r="C88" i="4"/>
  <c r="F87" i="4"/>
  <c r="E87" i="4"/>
  <c r="C87" i="4"/>
  <c r="F86" i="4"/>
  <c r="E86" i="4"/>
  <c r="C86" i="4"/>
  <c r="F85" i="4"/>
  <c r="E85" i="4"/>
  <c r="C85" i="4"/>
  <c r="F84" i="4"/>
  <c r="E84" i="4"/>
  <c r="C84" i="4"/>
  <c r="F83" i="4"/>
  <c r="E83" i="4"/>
  <c r="C83" i="4"/>
  <c r="F82" i="4"/>
  <c r="E82" i="4"/>
  <c r="C82" i="4"/>
  <c r="F81" i="4"/>
  <c r="E81" i="4"/>
  <c r="C81" i="4"/>
  <c r="F80" i="4"/>
  <c r="E80" i="4"/>
  <c r="C80" i="4"/>
  <c r="F79" i="4"/>
  <c r="E79" i="4"/>
  <c r="C79" i="4"/>
  <c r="F78" i="4"/>
  <c r="E78" i="4"/>
  <c r="C78" i="4"/>
  <c r="F77" i="4"/>
  <c r="E77" i="4"/>
  <c r="C77" i="4"/>
  <c r="F76" i="4"/>
  <c r="E76" i="4"/>
  <c r="C76" i="4"/>
  <c r="F75" i="4"/>
  <c r="E75" i="4"/>
  <c r="C75" i="4"/>
  <c r="F74" i="4"/>
  <c r="E74" i="4"/>
  <c r="C74" i="4"/>
  <c r="F73" i="4"/>
  <c r="E73" i="4"/>
  <c r="C73" i="4"/>
  <c r="F72" i="4"/>
  <c r="E72" i="4"/>
  <c r="C72" i="4"/>
  <c r="F71" i="4"/>
  <c r="E71" i="4"/>
  <c r="C71" i="4"/>
  <c r="F70" i="4"/>
  <c r="E70" i="4"/>
  <c r="C70" i="4"/>
  <c r="F69" i="4"/>
  <c r="E69" i="4"/>
  <c r="C69" i="4"/>
  <c r="F68" i="4"/>
  <c r="E68" i="4"/>
  <c r="C68" i="4"/>
  <c r="F67" i="4"/>
  <c r="E67" i="4"/>
  <c r="C67" i="4"/>
  <c r="F66" i="4"/>
  <c r="E66" i="4"/>
  <c r="C66" i="4"/>
  <c r="F65" i="4"/>
  <c r="E65" i="4"/>
  <c r="C65" i="4"/>
  <c r="F64" i="4"/>
  <c r="E64" i="4"/>
  <c r="C64" i="4"/>
  <c r="F63" i="4"/>
  <c r="E63" i="4"/>
  <c r="C63" i="4"/>
  <c r="F62" i="4"/>
  <c r="E62" i="4"/>
  <c r="C62" i="4"/>
  <c r="F61" i="4"/>
  <c r="E61" i="4"/>
  <c r="C61" i="4"/>
  <c r="F60" i="4"/>
  <c r="E60" i="4"/>
  <c r="C60" i="4"/>
  <c r="F59" i="4"/>
  <c r="E59" i="4"/>
  <c r="C59" i="4"/>
  <c r="F58" i="4"/>
  <c r="E58" i="4"/>
  <c r="C58" i="4"/>
  <c r="F57" i="4"/>
  <c r="E57" i="4"/>
  <c r="C57" i="4"/>
  <c r="F56" i="4"/>
  <c r="E56" i="4"/>
  <c r="C56" i="4"/>
  <c r="F55" i="4"/>
  <c r="E55" i="4"/>
  <c r="C55" i="4"/>
  <c r="F54" i="4"/>
  <c r="E54" i="4"/>
  <c r="C54" i="4"/>
  <c r="F53" i="4"/>
  <c r="E53" i="4"/>
  <c r="C53" i="4"/>
  <c r="F52" i="4"/>
  <c r="E52" i="4"/>
  <c r="C52" i="4"/>
  <c r="F51" i="4"/>
  <c r="E51" i="4"/>
  <c r="C51" i="4"/>
  <c r="F50" i="4"/>
  <c r="E50" i="4"/>
  <c r="C50" i="4"/>
  <c r="F49" i="4"/>
  <c r="E49" i="4"/>
  <c r="C49" i="4"/>
  <c r="F48" i="4"/>
  <c r="E48" i="4"/>
  <c r="C48" i="4"/>
  <c r="F47" i="4"/>
  <c r="E47" i="4"/>
  <c r="C47" i="4"/>
  <c r="F46" i="4"/>
  <c r="E46" i="4"/>
  <c r="C46" i="4"/>
  <c r="F45" i="4"/>
  <c r="E45" i="4"/>
  <c r="C45" i="4"/>
  <c r="F44" i="4"/>
  <c r="E44" i="4"/>
  <c r="C44" i="4"/>
  <c r="F43" i="4"/>
  <c r="E43" i="4"/>
  <c r="C43" i="4"/>
  <c r="F42" i="4"/>
  <c r="E42" i="4"/>
  <c r="C42" i="4"/>
  <c r="F41" i="4"/>
  <c r="E41" i="4"/>
  <c r="C41" i="4"/>
  <c r="F40" i="4"/>
  <c r="E40" i="4"/>
  <c r="C40" i="4"/>
  <c r="F39" i="4"/>
  <c r="E39" i="4"/>
  <c r="C39" i="4"/>
  <c r="F38" i="4"/>
  <c r="E38" i="4"/>
  <c r="C38" i="4"/>
  <c r="F37" i="4"/>
  <c r="E37" i="4"/>
  <c r="C37" i="4"/>
  <c r="F36" i="4"/>
  <c r="E36" i="4"/>
  <c r="C36" i="4"/>
  <c r="F35" i="4"/>
  <c r="E35" i="4"/>
  <c r="C35" i="4"/>
  <c r="F34" i="4"/>
  <c r="E34" i="4"/>
  <c r="C34" i="4"/>
  <c r="F33" i="4"/>
  <c r="E33" i="4"/>
  <c r="C33" i="4"/>
  <c r="F32" i="4"/>
  <c r="E32" i="4"/>
  <c r="C32" i="4"/>
  <c r="F31" i="4"/>
  <c r="E31" i="4"/>
  <c r="C31" i="4"/>
  <c r="F30" i="4"/>
  <c r="E30" i="4"/>
  <c r="C30" i="4"/>
  <c r="F29" i="4"/>
  <c r="E29" i="4"/>
  <c r="C29" i="4"/>
  <c r="F28" i="4"/>
  <c r="E28" i="4"/>
  <c r="C28" i="4"/>
  <c r="F27" i="4"/>
  <c r="E27" i="4"/>
  <c r="C27" i="4"/>
  <c r="F26" i="4"/>
  <c r="E26" i="4"/>
  <c r="C26" i="4"/>
  <c r="F25" i="4"/>
  <c r="E25" i="4"/>
  <c r="C25" i="4"/>
  <c r="F24" i="4"/>
  <c r="E24" i="4"/>
  <c r="C24" i="4"/>
  <c r="F23" i="4"/>
  <c r="E23" i="4"/>
  <c r="C23" i="4"/>
  <c r="F22" i="4"/>
  <c r="E22" i="4"/>
  <c r="C22" i="4"/>
  <c r="F21" i="4"/>
  <c r="E21" i="4"/>
  <c r="C21" i="4"/>
  <c r="F20" i="4"/>
  <c r="E20" i="4"/>
  <c r="C20" i="4"/>
  <c r="F19" i="4"/>
  <c r="E19" i="4"/>
  <c r="C19" i="4"/>
  <c r="F18" i="4"/>
  <c r="E18" i="4"/>
  <c r="C18" i="4"/>
  <c r="F17" i="4"/>
  <c r="E17" i="4"/>
  <c r="C17" i="4"/>
  <c r="F16" i="4"/>
  <c r="E16" i="4"/>
  <c r="C16" i="4"/>
  <c r="F15" i="4"/>
  <c r="E15" i="4"/>
  <c r="C15" i="4"/>
  <c r="F14" i="4"/>
  <c r="E14" i="4"/>
  <c r="C14" i="4"/>
  <c r="F13" i="4"/>
  <c r="E13" i="4"/>
  <c r="C13" i="4"/>
  <c r="F12" i="4"/>
  <c r="E12" i="4"/>
  <c r="C12" i="4"/>
  <c r="F11" i="4"/>
  <c r="E11" i="4"/>
  <c r="C11" i="4"/>
  <c r="F10" i="4"/>
  <c r="E10" i="4"/>
  <c r="C10" i="4"/>
  <c r="F9" i="4"/>
  <c r="E9" i="4"/>
  <c r="C9" i="4"/>
  <c r="F8" i="4"/>
  <c r="E8" i="4"/>
  <c r="C8" i="4"/>
  <c r="F7" i="4"/>
  <c r="E7" i="4"/>
  <c r="C7" i="4"/>
  <c r="E6" i="4"/>
  <c r="F6" i="4" s="1"/>
  <c r="C6" i="4"/>
  <c r="E5" i="4"/>
  <c r="F5" i="4" s="1"/>
  <c r="C5" i="4"/>
  <c r="E4" i="4"/>
  <c r="F4" i="4" s="1"/>
  <c r="C4" i="4"/>
  <c r="E3" i="4"/>
  <c r="F3" i="4" s="1"/>
  <c r="C3" i="4"/>
  <c r="E2" i="4"/>
  <c r="F2" i="4" s="1"/>
  <c r="C2" i="4"/>
  <c r="N51" i="3"/>
  <c r="O51" i="3" s="1"/>
  <c r="M51" i="3"/>
  <c r="L51" i="3"/>
  <c r="K51" i="3"/>
  <c r="J51" i="3"/>
  <c r="N50" i="3"/>
  <c r="O50" i="3" s="1"/>
  <c r="M50" i="3"/>
  <c r="L50" i="3"/>
  <c r="K50" i="3"/>
  <c r="J50" i="3"/>
  <c r="N49" i="3"/>
  <c r="O49" i="3" s="1"/>
  <c r="M49" i="3"/>
  <c r="L49" i="3"/>
  <c r="K49" i="3"/>
  <c r="J49" i="3"/>
  <c r="N48" i="3"/>
  <c r="O48" i="3" s="1"/>
  <c r="M48" i="3"/>
  <c r="L48" i="3"/>
  <c r="K48" i="3"/>
  <c r="J48" i="3"/>
  <c r="N47" i="3"/>
  <c r="O47" i="3" s="1"/>
  <c r="M47" i="3"/>
  <c r="L47" i="3"/>
  <c r="K47" i="3"/>
  <c r="J47" i="3"/>
  <c r="N46" i="3"/>
  <c r="O46" i="3" s="1"/>
  <c r="M46" i="3"/>
  <c r="L46" i="3"/>
  <c r="K46" i="3"/>
  <c r="J46" i="3"/>
  <c r="N45" i="3"/>
  <c r="O45" i="3" s="1"/>
  <c r="M45" i="3"/>
  <c r="L45" i="3"/>
  <c r="K45" i="3"/>
  <c r="J45" i="3"/>
  <c r="N44" i="3"/>
  <c r="O44" i="3" s="1"/>
  <c r="M44" i="3"/>
  <c r="L44" i="3"/>
  <c r="K44" i="3"/>
  <c r="J44" i="3"/>
  <c r="N43" i="3"/>
  <c r="O43" i="3" s="1"/>
  <c r="M43" i="3"/>
  <c r="L43" i="3"/>
  <c r="K43" i="3"/>
  <c r="J43" i="3"/>
  <c r="N42" i="3"/>
  <c r="O42" i="3" s="1"/>
  <c r="M42" i="3"/>
  <c r="L42" i="3"/>
  <c r="K42" i="3"/>
  <c r="J42" i="3"/>
  <c r="N41" i="3"/>
  <c r="O41" i="3" s="1"/>
  <c r="M41" i="3"/>
  <c r="L41" i="3"/>
  <c r="K41" i="3"/>
  <c r="J41" i="3"/>
  <c r="N40" i="3"/>
  <c r="O40" i="3" s="1"/>
  <c r="M40" i="3"/>
  <c r="L40" i="3"/>
  <c r="K40" i="3"/>
  <c r="J40" i="3"/>
  <c r="N39" i="3"/>
  <c r="O39" i="3" s="1"/>
  <c r="M39" i="3"/>
  <c r="L39" i="3"/>
  <c r="K39" i="3"/>
  <c r="J39" i="3"/>
  <c r="N38" i="3"/>
  <c r="O38" i="3" s="1"/>
  <c r="M38" i="3"/>
  <c r="L38" i="3"/>
  <c r="K38" i="3"/>
  <c r="J38" i="3"/>
  <c r="N37" i="3"/>
  <c r="O37" i="3" s="1"/>
  <c r="M37" i="3"/>
  <c r="L37" i="3"/>
  <c r="K37" i="3"/>
  <c r="J37" i="3"/>
  <c r="N36" i="3"/>
  <c r="O36" i="3" s="1"/>
  <c r="M36" i="3"/>
  <c r="L36" i="3"/>
  <c r="K36" i="3"/>
  <c r="J36" i="3"/>
  <c r="N35" i="3"/>
  <c r="O35" i="3" s="1"/>
  <c r="M35" i="3"/>
  <c r="L35" i="3"/>
  <c r="K35" i="3"/>
  <c r="J35" i="3"/>
  <c r="N34" i="3"/>
  <c r="O34" i="3" s="1"/>
  <c r="M34" i="3"/>
  <c r="L34" i="3"/>
  <c r="K34" i="3"/>
  <c r="J34" i="3"/>
  <c r="N33" i="3"/>
  <c r="O33" i="3" s="1"/>
  <c r="M33" i="3"/>
  <c r="L33" i="3"/>
  <c r="K33" i="3"/>
  <c r="J33" i="3"/>
  <c r="N32" i="3"/>
  <c r="O32" i="3" s="1"/>
  <c r="M32" i="3"/>
  <c r="L32" i="3"/>
  <c r="K32" i="3"/>
  <c r="J32" i="3"/>
  <c r="N31" i="3"/>
  <c r="O31" i="3" s="1"/>
  <c r="M31" i="3"/>
  <c r="L31" i="3"/>
  <c r="K31" i="3"/>
  <c r="J31" i="3"/>
  <c r="N30" i="3"/>
  <c r="O30" i="3" s="1"/>
  <c r="M30" i="3"/>
  <c r="L30" i="3"/>
  <c r="K30" i="3"/>
  <c r="J30" i="3"/>
  <c r="N29" i="3"/>
  <c r="O29" i="3" s="1"/>
  <c r="M29" i="3"/>
  <c r="L29" i="3"/>
  <c r="K29" i="3"/>
  <c r="J29" i="3"/>
  <c r="N28" i="3"/>
  <c r="O28" i="3" s="1"/>
  <c r="M28" i="3"/>
  <c r="L28" i="3"/>
  <c r="K28" i="3"/>
  <c r="J28" i="3"/>
  <c r="N27" i="3"/>
  <c r="O27" i="3" s="1"/>
  <c r="M27" i="3"/>
  <c r="L27" i="3"/>
  <c r="K27" i="3"/>
  <c r="J27" i="3"/>
  <c r="N26" i="3"/>
  <c r="O26" i="3" s="1"/>
  <c r="M26" i="3"/>
  <c r="L26" i="3"/>
  <c r="K26" i="3"/>
  <c r="J26" i="3"/>
  <c r="N25" i="3"/>
  <c r="O25" i="3" s="1"/>
  <c r="M25" i="3"/>
  <c r="L25" i="3"/>
  <c r="K25" i="3"/>
  <c r="J25" i="3"/>
  <c r="N24" i="3"/>
  <c r="O24" i="3" s="1"/>
  <c r="M24" i="3"/>
  <c r="L24" i="3"/>
  <c r="K24" i="3"/>
  <c r="J24" i="3"/>
  <c r="N23" i="3"/>
  <c r="O23" i="3" s="1"/>
  <c r="M23" i="3"/>
  <c r="L23" i="3"/>
  <c r="K23" i="3"/>
  <c r="J23" i="3"/>
  <c r="N22" i="3"/>
  <c r="O22" i="3" s="1"/>
  <c r="M22" i="3"/>
  <c r="L22" i="3"/>
  <c r="K22" i="3"/>
  <c r="J22" i="3"/>
  <c r="N21" i="3"/>
  <c r="O21" i="3" s="1"/>
  <c r="M21" i="3"/>
  <c r="L21" i="3"/>
  <c r="K21" i="3"/>
  <c r="J21" i="3"/>
  <c r="N20" i="3"/>
  <c r="O20" i="3" s="1"/>
  <c r="M20" i="3"/>
  <c r="L20" i="3"/>
  <c r="K20" i="3"/>
  <c r="J20" i="3"/>
  <c r="N19" i="3"/>
  <c r="O19" i="3" s="1"/>
  <c r="M19" i="3"/>
  <c r="L19" i="3"/>
  <c r="K19" i="3"/>
  <c r="J19" i="3"/>
  <c r="N18" i="3"/>
  <c r="O18" i="3" s="1"/>
  <c r="M18" i="3"/>
  <c r="L18" i="3"/>
  <c r="K18" i="3"/>
  <c r="J18" i="3"/>
  <c r="N17" i="3"/>
  <c r="O17" i="3" s="1"/>
  <c r="M17" i="3"/>
  <c r="L17" i="3"/>
  <c r="K17" i="3"/>
  <c r="J17" i="3"/>
  <c r="N16" i="3"/>
  <c r="O16" i="3" s="1"/>
  <c r="M16" i="3"/>
  <c r="L16" i="3"/>
  <c r="K16" i="3"/>
  <c r="J16" i="3"/>
  <c r="N15" i="3"/>
  <c r="O15" i="3" s="1"/>
  <c r="M15" i="3"/>
  <c r="L15" i="3"/>
  <c r="K15" i="3"/>
  <c r="J15" i="3"/>
  <c r="N14" i="3"/>
  <c r="O14" i="3" s="1"/>
  <c r="M14" i="3"/>
  <c r="L14" i="3"/>
  <c r="K14" i="3"/>
  <c r="J14" i="3"/>
  <c r="N13" i="3"/>
  <c r="O13" i="3" s="1"/>
  <c r="M13" i="3"/>
  <c r="L13" i="3"/>
  <c r="K13" i="3"/>
  <c r="J13" i="3"/>
  <c r="N12" i="3"/>
  <c r="O12" i="3" s="1"/>
  <c r="M12" i="3"/>
  <c r="L12" i="3"/>
  <c r="K12" i="3"/>
  <c r="J12" i="3"/>
  <c r="K11" i="3"/>
  <c r="J11" i="3"/>
  <c r="L11" i="3" s="1"/>
  <c r="K10" i="3"/>
  <c r="J10" i="3"/>
  <c r="L10" i="3" s="1"/>
  <c r="K9" i="3"/>
  <c r="J9" i="3"/>
  <c r="L9" i="3" s="1"/>
  <c r="K8" i="3"/>
  <c r="J8" i="3"/>
  <c r="L8" i="3" s="1"/>
  <c r="K7" i="3"/>
  <c r="J7" i="3"/>
  <c r="L7" i="3" s="1"/>
  <c r="K6" i="3"/>
  <c r="J6" i="3"/>
  <c r="L6" i="3" s="1"/>
  <c r="K5" i="3"/>
  <c r="J5" i="3"/>
  <c r="L5" i="3" s="1"/>
  <c r="K4" i="3"/>
  <c r="J4" i="3"/>
  <c r="L4" i="3" s="1"/>
  <c r="K3" i="3"/>
  <c r="J3" i="3"/>
  <c r="L3" i="3" s="1"/>
  <c r="K2" i="3"/>
  <c r="J2" i="3"/>
  <c r="L2" i="3" s="1"/>
  <c r="K10" i="2"/>
  <c r="B6" i="2"/>
  <c r="N5" i="3" l="1"/>
  <c r="O5" i="3" s="1"/>
  <c r="M5" i="3"/>
  <c r="N11" i="3"/>
  <c r="M11" i="3"/>
  <c r="N6" i="3"/>
  <c r="O6" i="3" s="1"/>
  <c r="M6" i="3"/>
  <c r="K8" i="2" s="1"/>
  <c r="N7" i="3"/>
  <c r="O7" i="3" s="1"/>
  <c r="M7" i="3"/>
  <c r="N2" i="3"/>
  <c r="M2" i="3"/>
  <c r="D6" i="2"/>
  <c r="N8" i="3"/>
  <c r="O8" i="3" s="1"/>
  <c r="M8" i="3"/>
  <c r="M3" i="3"/>
  <c r="N3" i="3"/>
  <c r="O3" i="3" s="1"/>
  <c r="N9" i="3"/>
  <c r="O9" i="3" s="1"/>
  <c r="M9" i="3"/>
  <c r="N4" i="3"/>
  <c r="O4" i="3" s="1"/>
  <c r="M4" i="3"/>
  <c r="K7" i="2" s="1"/>
  <c r="N10" i="3"/>
  <c r="O10" i="3" s="1"/>
  <c r="M10" i="3"/>
  <c r="K6" i="2" l="1"/>
  <c r="F6" i="2"/>
  <c r="O2" i="3"/>
  <c r="H6" i="2"/>
  <c r="O11" i="3"/>
  <c r="K9" i="2"/>
  <c r="B21" i="2" l="1"/>
  <c r="B18" i="2"/>
  <c r="B15" i="2"/>
  <c r="B12" i="2"/>
  <c r="B20" i="2"/>
  <c r="B14" i="2"/>
  <c r="B17" i="2"/>
  <c r="B19" i="2"/>
  <c r="B13" i="2"/>
  <c r="B16" i="2"/>
  <c r="E16" i="2" l="1"/>
  <c r="C16" i="2"/>
  <c r="D16" i="2"/>
  <c r="E13" i="2"/>
  <c r="C13" i="2"/>
  <c r="D13" i="2"/>
  <c r="E19" i="2"/>
  <c r="C19" i="2"/>
  <c r="D19" i="2"/>
  <c r="C17" i="2"/>
  <c r="E17" i="2"/>
  <c r="D17" i="2"/>
  <c r="E20" i="2"/>
  <c r="C20" i="2"/>
  <c r="D20" i="2"/>
  <c r="C14" i="2"/>
  <c r="E14" i="2"/>
  <c r="D14" i="2"/>
  <c r="E12" i="2"/>
  <c r="D12" i="2"/>
  <c r="C12" i="2"/>
  <c r="E15" i="2"/>
  <c r="D15" i="2"/>
  <c r="C15" i="2"/>
  <c r="E18" i="2"/>
  <c r="D18" i="2"/>
  <c r="C18" i="2"/>
  <c r="E21" i="2"/>
  <c r="D21" i="2"/>
  <c r="C21" i="2"/>
</calcChain>
</file>

<file path=xl/sharedStrings.xml><?xml version="1.0" encoding="utf-8"?>
<sst xmlns="http://schemas.openxmlformats.org/spreadsheetml/2006/main" count="133" uniqueCount="82">
  <si>
    <t>Inventory Dashboard</t>
  </si>
  <si>
    <t>Auto-updates from the Inventory, Stock In and Stock Out sheets</t>
  </si>
  <si>
    <t>Total SKUs</t>
  </si>
  <si>
    <t>Total Units in Stock</t>
  </si>
  <si>
    <t>Total Stock Value ($)</t>
  </si>
  <si>
    <t>Items Needing Reorder</t>
  </si>
  <si>
    <t>Category</t>
  </si>
  <si>
    <t>Stock Value</t>
  </si>
  <si>
    <t>Office Supplies</t>
  </si>
  <si>
    <t>Electronics</t>
  </si>
  <si>
    <t>Merchandise</t>
  </si>
  <si>
    <t>Packaging</t>
  </si>
  <si>
    <t>Items to reorder now:</t>
  </si>
  <si>
    <t>Other</t>
  </si>
  <si>
    <t>Item ID</t>
  </si>
  <si>
    <t>Item Name</t>
  </si>
  <si>
    <t>Current Stock</t>
  </si>
  <si>
    <t>Reorder Level</t>
  </si>
  <si>
    <t>Unit</t>
  </si>
  <si>
    <t>Opening Stock</t>
  </si>
  <si>
    <t>Unit Cost ($)</t>
  </si>
  <si>
    <t>Unit Price ($)</t>
  </si>
  <si>
    <t>Supplier</t>
  </si>
  <si>
    <t>Stock In (Total)</t>
  </si>
  <si>
    <t>Stock Out (Total)</t>
  </si>
  <si>
    <t>Stock Value ($)</t>
  </si>
  <si>
    <t>Status</t>
  </si>
  <si>
    <t>Reorder Rank</t>
  </si>
  <si>
    <t>INV-001</t>
  </si>
  <si>
    <t>A4 Copy Paper (Ream)</t>
  </si>
  <si>
    <t>ream</t>
  </si>
  <si>
    <t>PaperCo Ltd</t>
  </si>
  <si>
    <t>INV-002</t>
  </si>
  <si>
    <t>Ballpoint Pens (Box of 12)</t>
  </si>
  <si>
    <t>box</t>
  </si>
  <si>
    <t>INV-003</t>
  </si>
  <si>
    <t>Wireless Mouse</t>
  </si>
  <si>
    <t>unit</t>
  </si>
  <si>
    <t>TechDirect</t>
  </si>
  <si>
    <t>INV-004</t>
  </si>
  <si>
    <t>USB-C Cable 1m</t>
  </si>
  <si>
    <t>INV-005</t>
  </si>
  <si>
    <t>Stainless Steel Bottle 750ml</t>
  </si>
  <si>
    <t>PromoGoods Inc</t>
  </si>
  <si>
    <t>INV-006</t>
  </si>
  <si>
    <t>Cotton T-Shirt (M)</t>
  </si>
  <si>
    <t>INV-007</t>
  </si>
  <si>
    <t>Printer Toner Cartridge</t>
  </si>
  <si>
    <t>INV-008</t>
  </si>
  <si>
    <t>Cardboard Shipping Box (M)</t>
  </si>
  <si>
    <t>PackRight Co</t>
  </si>
  <si>
    <t>INV-009</t>
  </si>
  <si>
    <t>Bubble Wrap Roll 50m</t>
  </si>
  <si>
    <t>roll</t>
  </si>
  <si>
    <t>INV-010</t>
  </si>
  <si>
    <t>Standing Desk Mat</t>
  </si>
  <si>
    <t>Date</t>
  </si>
  <si>
    <t>Qty In</t>
  </si>
  <si>
    <t>Total Cost ($)</t>
  </si>
  <si>
    <t>Notes</t>
  </si>
  <si>
    <t>2026-07-02</t>
  </si>
  <si>
    <t>Monthly restock</t>
  </si>
  <si>
    <t>2026-07-05</t>
  </si>
  <si>
    <t>2026-07-10</t>
  </si>
  <si>
    <t>2026-07-14</t>
  </si>
  <si>
    <t>Bulk order</t>
  </si>
  <si>
    <t>2026-08-01</t>
  </si>
  <si>
    <t>Qty Out</t>
  </si>
  <si>
    <t>Total Value ($)</t>
  </si>
  <si>
    <t>Issued To / Customer</t>
  </si>
  <si>
    <t>2026-07-03</t>
  </si>
  <si>
    <t>Ops Team</t>
  </si>
  <si>
    <t>2026-07-08</t>
  </si>
  <si>
    <t>Sales Dept</t>
  </si>
  <si>
    <t>2026-07-15</t>
  </si>
  <si>
    <t>Fulfillment</t>
  </si>
  <si>
    <t>Weekly shipments</t>
  </si>
  <si>
    <t>2026-07-20</t>
  </si>
  <si>
    <t>Front Desk</t>
  </si>
  <si>
    <t>2026-08-05</t>
  </si>
  <si>
    <t>HR</t>
  </si>
  <si>
    <t>New hire kits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</si>
</sst>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yyyy\-mm\-dd"/>
  </numFmts>
  <fonts count="9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i/>
      <sz val="10"/>
      <color rgb="FF666666"/>
      <name val="Arial"/>
      <charset val="1"/>
    </font>
    <font>
      <b/>
      <sz val="10"/>
      <color rgb="FF1F4E78"/>
      <name val="Arial"/>
      <charset val="1"/>
    </font>
    <font>
      <b/>
      <sz val="11"/>
      <color rgb="FFFFFFFF"/>
      <name val="Arial"/>
      <charset val="1"/>
    </font>
    <font>
      <b/>
      <sz val="20"/>
      <color rgb="FF1F4E7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EAF1F8"/>
        <bgColor rgb="FFF9F9F9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/>
    <xf numFmtId="164" fontId="8" fillId="2" borderId="1" xfId="0" applyNumberFormat="1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7" fillId="3" borderId="0" xfId="0" applyFont="1" applyFill="1"/>
    <xf numFmtId="164" fontId="4" fillId="0" borderId="0" xfId="0" applyNumberFormat="1" applyFont="1"/>
    <xf numFmtId="0" fontId="7" fillId="3" borderId="1" xfId="0" applyFont="1" applyFill="1" applyBorder="1"/>
    <xf numFmtId="0" fontId="4" fillId="0" borderId="1" xfId="0" applyFont="1" applyBorder="1"/>
    <xf numFmtId="3" fontId="4" fillId="0" borderId="1" xfId="0" applyNumberFormat="1" applyFont="1" applyBorder="1"/>
    <xf numFmtId="0" fontId="7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3" fontId="3" fillId="0" borderId="1" xfId="0" applyNumberFormat="1" applyFont="1" applyBorder="1"/>
    <xf numFmtId="164" fontId="3" fillId="0" borderId="1" xfId="0" applyNumberFormat="1" applyFont="1" applyBorder="1"/>
    <xf numFmtId="164" fontId="4" fillId="0" borderId="1" xfId="0" applyNumberFormat="1" applyFont="1" applyBorder="1"/>
    <xf numFmtId="164" fontId="0" fillId="0" borderId="0" xfId="0" applyNumberFormat="1"/>
    <xf numFmtId="165" fontId="3" fillId="0" borderId="1" xfId="0" applyNumberFormat="1" applyFont="1" applyBorder="1"/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9F9F9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Stock Value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Dashboard!$K$5</c:f>
              <c:strCache>
                <c:ptCount val="1"/>
                <c:pt idx="0">
                  <c:v>Stock 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Dashboard!$J$6:$J$10</c:f>
              <c:strCache>
                <c:ptCount val="5"/>
                <c:pt idx="0">
                  <c:v>Office Supplies</c:v>
                </c:pt>
                <c:pt idx="1">
                  <c:v>Electronics</c:v>
                </c:pt>
                <c:pt idx="2">
                  <c:v>Merchandise</c:v>
                </c:pt>
                <c:pt idx="3">
                  <c:v>Packaging</c:v>
                </c:pt>
                <c:pt idx="4">
                  <c:v>Other</c:v>
                </c:pt>
              </c:strCache>
            </c:strRef>
          </c:cat>
          <c:val>
            <c:numRef>
              <c:f>Dashboard!$K$6:$K$10</c:f>
              <c:numCache>
                <c:formatCode>\$#,##0.00</c:formatCode>
                <c:ptCount val="5"/>
                <c:pt idx="0">
                  <c:v>2233</c:v>
                </c:pt>
                <c:pt idx="1">
                  <c:v>528.25</c:v>
                </c:pt>
                <c:pt idx="2">
                  <c:v>715</c:v>
                </c:pt>
                <c:pt idx="3">
                  <c:v>564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8E-440B-8A76-FB84572A7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69342"/>
        <c:axId val="25341547"/>
      </c:barChart>
      <c:catAx>
        <c:axId val="201693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341547"/>
        <c:crosses val="autoZero"/>
        <c:auto val="1"/>
        <c:lblAlgn val="ctr"/>
        <c:lblOffset val="100"/>
        <c:noMultiLvlLbl val="0"/>
      </c:catAx>
      <c:valAx>
        <c:axId val="253415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Stock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1693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130680</xdr:rowOff>
    </xdr:from>
    <xdr:to>
      <xdr:col>7</xdr:col>
      <xdr:colOff>896040</xdr:colOff>
      <xdr:row>30</xdr:row>
      <xdr:rowOff>121320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1"/>
  <sheetViews>
    <sheetView showGridLines="0" zoomScaleNormal="100" workbookViewId="0">
      <selection activeCell="H9" sqref="H9"/>
    </sheetView>
  </sheetViews>
  <sheetFormatPr defaultColWidth="8.6640625" defaultRowHeight="14.4" x14ac:dyDescent="0.3"/>
  <cols>
    <col min="1" max="1" width="3" customWidth="1"/>
    <col min="2" max="2" width="18" customWidth="1"/>
    <col min="3" max="3" width="5" customWidth="1"/>
    <col min="4" max="4" width="18" customWidth="1"/>
    <col min="5" max="5" width="5" customWidth="1"/>
    <col min="6" max="6" width="18" customWidth="1"/>
    <col min="7" max="7" width="5" customWidth="1"/>
    <col min="8" max="8" width="18" customWidth="1"/>
    <col min="9" max="9" width="5" customWidth="1"/>
    <col min="10" max="10" width="18" customWidth="1"/>
    <col min="11" max="11" width="14" customWidth="1"/>
  </cols>
  <sheetData>
    <row r="2" spans="2:11" ht="21" x14ac:dyDescent="0.4">
      <c r="B2" s="4" t="s">
        <v>0</v>
      </c>
    </row>
    <row r="3" spans="2:11" x14ac:dyDescent="0.3">
      <c r="B3" s="7" t="s">
        <v>1</v>
      </c>
    </row>
    <row r="5" spans="2:11" x14ac:dyDescent="0.3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  <c r="J5" s="8" t="s">
        <v>6</v>
      </c>
      <c r="K5" s="8" t="s">
        <v>7</v>
      </c>
    </row>
    <row r="6" spans="2:11" x14ac:dyDescent="0.3">
      <c r="B6" s="2">
        <f>COUNTIF(Inventory!A2:A51,"?*")</f>
        <v>10</v>
      </c>
      <c r="C6" s="2"/>
      <c r="D6" s="2">
        <f>SUM(Inventory!L2:L51)</f>
        <v>1262</v>
      </c>
      <c r="E6" s="2"/>
      <c r="F6" s="1">
        <f>SUM(Inventory!M2:M51)</f>
        <v>4040.25</v>
      </c>
      <c r="G6" s="1"/>
      <c r="H6" s="2">
        <f>COUNTIF(Inventory!N2:N51,"Reorder Now")</f>
        <v>1</v>
      </c>
      <c r="I6" s="2"/>
      <c r="J6" s="6" t="s">
        <v>8</v>
      </c>
      <c r="K6" s="9">
        <f>SUMIFS(Inventory!$M:$M,Inventory!$C:$C,J6)</f>
        <v>2233</v>
      </c>
    </row>
    <row r="7" spans="2:11" x14ac:dyDescent="0.3">
      <c r="B7" s="2"/>
      <c r="C7" s="2"/>
      <c r="D7" s="2"/>
      <c r="E7" s="2"/>
      <c r="F7" s="1"/>
      <c r="G7" s="1"/>
      <c r="H7" s="2"/>
      <c r="I7" s="2"/>
      <c r="J7" s="6" t="s">
        <v>9</v>
      </c>
      <c r="K7" s="9">
        <f>SUMIFS(Inventory!$M:$M,Inventory!$C:$C,J7)</f>
        <v>528.25</v>
      </c>
    </row>
    <row r="8" spans="2:11" x14ac:dyDescent="0.3">
      <c r="J8" s="6" t="s">
        <v>10</v>
      </c>
      <c r="K8" s="9">
        <f>SUMIFS(Inventory!$M:$M,Inventory!$C:$C,J8)</f>
        <v>715</v>
      </c>
    </row>
    <row r="9" spans="2:11" x14ac:dyDescent="0.3">
      <c r="J9" s="6" t="s">
        <v>11</v>
      </c>
      <c r="K9" s="9">
        <f>SUMIFS(Inventory!$M:$M,Inventory!$C:$C,J9)</f>
        <v>564</v>
      </c>
    </row>
    <row r="10" spans="2:11" x14ac:dyDescent="0.3">
      <c r="B10" s="5" t="s">
        <v>12</v>
      </c>
      <c r="J10" s="6" t="s">
        <v>13</v>
      </c>
      <c r="K10" s="9">
        <f>SUMIFS(Inventory!$M:$M,Inventory!$C:$C,J10)</f>
        <v>0</v>
      </c>
    </row>
    <row r="11" spans="2:11" x14ac:dyDescent="0.3">
      <c r="B11" s="10" t="s">
        <v>14</v>
      </c>
      <c r="C11" s="10" t="s">
        <v>15</v>
      </c>
      <c r="D11" s="10" t="s">
        <v>16</v>
      </c>
      <c r="E11" s="10" t="s">
        <v>17</v>
      </c>
    </row>
    <row r="12" spans="2:11" x14ac:dyDescent="0.3">
      <c r="B12" s="11" t="str">
        <f>IFERROR(INDEX(Inventory!$A$2:$A$51,MATCH(1,Inventory!$O$2:$O$51,0)),"")</f>
        <v>INV-010</v>
      </c>
      <c r="C12" s="11" t="str">
        <f>IF($B12="","",IFERROR(INDEX(Inventory!$B:$B,MATCH($B12,Inventory!$A:$A,0)),""))</f>
        <v>Standing Desk Mat</v>
      </c>
      <c r="D12" s="12">
        <f>IF($B12="","",IFERROR(INDEX(Inventory!$L:$L,MATCH($B12,Inventory!$A:$A,0)),""))</f>
        <v>6</v>
      </c>
      <c r="E12" s="12">
        <f>IF($B12="","",IFERROR(INDEX(Inventory!$F:$F,MATCH($B12,Inventory!$A:$A,0)),""))</f>
        <v>8</v>
      </c>
    </row>
    <row r="13" spans="2:11" x14ac:dyDescent="0.3">
      <c r="B13" s="11" t="str">
        <f>IFERROR(INDEX(Inventory!$A$2:$A$51,MATCH(2,Inventory!$O$2:$O$51,0)),"")</f>
        <v/>
      </c>
      <c r="C13" s="11" t="str">
        <f>IF($B13="","",IFERROR(INDEX(Inventory!$B:$B,MATCH($B13,Inventory!$A:$A,0)),""))</f>
        <v/>
      </c>
      <c r="D13" s="11" t="str">
        <f>IF($B13="","",IFERROR(INDEX(Inventory!$L:$L,MATCH($B13,Inventory!$A:$A,0)),""))</f>
        <v/>
      </c>
      <c r="E13" s="11" t="str">
        <f>IF($B13="","",IFERROR(INDEX(Inventory!$F:$F,MATCH($B13,Inventory!$A:$A,0)),""))</f>
        <v/>
      </c>
    </row>
    <row r="14" spans="2:11" x14ac:dyDescent="0.3">
      <c r="B14" s="11" t="str">
        <f>IFERROR(INDEX(Inventory!$A$2:$A$51,MATCH(3,Inventory!$O$2:$O$51,0)),"")</f>
        <v/>
      </c>
      <c r="C14" s="11" t="str">
        <f>IF($B14="","",IFERROR(INDEX(Inventory!$B:$B,MATCH($B14,Inventory!$A:$A,0)),""))</f>
        <v/>
      </c>
      <c r="D14" s="11" t="str">
        <f>IF($B14="","",IFERROR(INDEX(Inventory!$L:$L,MATCH($B14,Inventory!$A:$A,0)),""))</f>
        <v/>
      </c>
      <c r="E14" s="11" t="str">
        <f>IF($B14="","",IFERROR(INDEX(Inventory!$F:$F,MATCH($B14,Inventory!$A:$A,0)),""))</f>
        <v/>
      </c>
    </row>
    <row r="15" spans="2:11" x14ac:dyDescent="0.3">
      <c r="B15" s="11" t="str">
        <f>IFERROR(INDEX(Inventory!$A$2:$A$51,MATCH(4,Inventory!$O$2:$O$51,0)),"")</f>
        <v/>
      </c>
      <c r="C15" s="11" t="str">
        <f>IF($B15="","",IFERROR(INDEX(Inventory!$B:$B,MATCH($B15,Inventory!$A:$A,0)),""))</f>
        <v/>
      </c>
      <c r="D15" s="11" t="str">
        <f>IF($B15="","",IFERROR(INDEX(Inventory!$L:$L,MATCH($B15,Inventory!$A:$A,0)),""))</f>
        <v/>
      </c>
      <c r="E15" s="11" t="str">
        <f>IF($B15="","",IFERROR(INDEX(Inventory!$F:$F,MATCH($B15,Inventory!$A:$A,0)),""))</f>
        <v/>
      </c>
    </row>
    <row r="16" spans="2:11" x14ac:dyDescent="0.3">
      <c r="B16" s="11" t="str">
        <f>IFERROR(INDEX(Inventory!$A$2:$A$51,MATCH(5,Inventory!$O$2:$O$51,0)),"")</f>
        <v/>
      </c>
      <c r="C16" s="11" t="str">
        <f>IF($B16="","",IFERROR(INDEX(Inventory!$B:$B,MATCH($B16,Inventory!$A:$A,0)),""))</f>
        <v/>
      </c>
      <c r="D16" s="11" t="str">
        <f>IF($B16="","",IFERROR(INDEX(Inventory!$L:$L,MATCH($B16,Inventory!$A:$A,0)),""))</f>
        <v/>
      </c>
      <c r="E16" s="11" t="str">
        <f>IF($B16="","",IFERROR(INDEX(Inventory!$F:$F,MATCH($B16,Inventory!$A:$A,0)),""))</f>
        <v/>
      </c>
    </row>
    <row r="17" spans="2:5" x14ac:dyDescent="0.3">
      <c r="B17" s="11" t="str">
        <f>IFERROR(INDEX(Inventory!$A$2:$A$51,MATCH(6,Inventory!$O$2:$O$51,0)),"")</f>
        <v/>
      </c>
      <c r="C17" s="11" t="str">
        <f>IF($B17="","",IFERROR(INDEX(Inventory!$B:$B,MATCH($B17,Inventory!$A:$A,0)),""))</f>
        <v/>
      </c>
      <c r="D17" s="11" t="str">
        <f>IF($B17="","",IFERROR(INDEX(Inventory!$L:$L,MATCH($B17,Inventory!$A:$A,0)),""))</f>
        <v/>
      </c>
      <c r="E17" s="11" t="str">
        <f>IF($B17="","",IFERROR(INDEX(Inventory!$F:$F,MATCH($B17,Inventory!$A:$A,0)),""))</f>
        <v/>
      </c>
    </row>
    <row r="18" spans="2:5" x14ac:dyDescent="0.3">
      <c r="B18" s="11" t="str">
        <f>IFERROR(INDEX(Inventory!$A$2:$A$51,MATCH(7,Inventory!$O$2:$O$51,0)),"")</f>
        <v/>
      </c>
      <c r="C18" s="11" t="str">
        <f>IF($B18="","",IFERROR(INDEX(Inventory!$B:$B,MATCH($B18,Inventory!$A:$A,0)),""))</f>
        <v/>
      </c>
      <c r="D18" s="11" t="str">
        <f>IF($B18="","",IFERROR(INDEX(Inventory!$L:$L,MATCH($B18,Inventory!$A:$A,0)),""))</f>
        <v/>
      </c>
      <c r="E18" s="11" t="str">
        <f>IF($B18="","",IFERROR(INDEX(Inventory!$F:$F,MATCH($B18,Inventory!$A:$A,0)),""))</f>
        <v/>
      </c>
    </row>
    <row r="19" spans="2:5" x14ac:dyDescent="0.3">
      <c r="B19" s="11" t="str">
        <f>IFERROR(INDEX(Inventory!$A$2:$A$51,MATCH(8,Inventory!$O$2:$O$51,0)),"")</f>
        <v/>
      </c>
      <c r="C19" s="11" t="str">
        <f>IF($B19="","",IFERROR(INDEX(Inventory!$B:$B,MATCH($B19,Inventory!$A:$A,0)),""))</f>
        <v/>
      </c>
      <c r="D19" s="11" t="str">
        <f>IF($B19="","",IFERROR(INDEX(Inventory!$L:$L,MATCH($B19,Inventory!$A:$A,0)),""))</f>
        <v/>
      </c>
      <c r="E19" s="11" t="str">
        <f>IF($B19="","",IFERROR(INDEX(Inventory!$F:$F,MATCH($B19,Inventory!$A:$A,0)),""))</f>
        <v/>
      </c>
    </row>
    <row r="20" spans="2:5" x14ac:dyDescent="0.3">
      <c r="B20" s="11" t="str">
        <f>IFERROR(INDEX(Inventory!$A$2:$A$51,MATCH(9,Inventory!$O$2:$O$51,0)),"")</f>
        <v/>
      </c>
      <c r="C20" s="11" t="str">
        <f>IF($B20="","",IFERROR(INDEX(Inventory!$B:$B,MATCH($B20,Inventory!$A:$A,0)),""))</f>
        <v/>
      </c>
      <c r="D20" s="11" t="str">
        <f>IF($B20="","",IFERROR(INDEX(Inventory!$L:$L,MATCH($B20,Inventory!$A:$A,0)),""))</f>
        <v/>
      </c>
      <c r="E20" s="11" t="str">
        <f>IF($B20="","",IFERROR(INDEX(Inventory!$F:$F,MATCH($B20,Inventory!$A:$A,0)),""))</f>
        <v/>
      </c>
    </row>
    <row r="21" spans="2:5" x14ac:dyDescent="0.3">
      <c r="B21" s="11" t="str">
        <f>IFERROR(INDEX(Inventory!$A$2:$A$51,MATCH(10,Inventory!$O$2:$O$51,0)),"")</f>
        <v/>
      </c>
      <c r="C21" s="11" t="str">
        <f>IF($B21="","",IFERROR(INDEX(Inventory!$B:$B,MATCH($B21,Inventory!$A:$A,0)),""))</f>
        <v/>
      </c>
      <c r="D21" s="11" t="str">
        <f>IF($B21="","",IFERROR(INDEX(Inventory!$L:$L,MATCH($B21,Inventory!$A:$A,0)),""))</f>
        <v/>
      </c>
      <c r="E21" s="11" t="str">
        <f>IF($B21="","",IFERROR(INDEX(Inventory!$F:$F,MATCH($B21,Inventory!$A:$A,0)),""))</f>
        <v/>
      </c>
    </row>
  </sheetData>
  <mergeCells count="8">
    <mergeCell ref="B5:C5"/>
    <mergeCell ref="D5:E5"/>
    <mergeCell ref="F5:G5"/>
    <mergeCell ref="H5:I5"/>
    <mergeCell ref="B6:C7"/>
    <mergeCell ref="D6:E7"/>
    <mergeCell ref="F6:G7"/>
    <mergeCell ref="H6:I7"/>
  </mergeCells>
  <conditionalFormatting sqref="B12:E21">
    <cfRule type="expression" dxfId="2" priority="2">
      <formula>$B12&lt;&gt;""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26" customWidth="1"/>
    <col min="3" max="3" width="16" customWidth="1"/>
    <col min="4" max="4" width="8" customWidth="1"/>
    <col min="5" max="8" width="12" customWidth="1"/>
    <col min="9" max="9" width="16" customWidth="1"/>
    <col min="10" max="12" width="12" customWidth="1"/>
    <col min="13" max="14" width="13" customWidth="1"/>
    <col min="15" max="15" width="12" hidden="1" customWidth="1"/>
  </cols>
  <sheetData>
    <row r="1" spans="1:15" ht="31.5" customHeight="1" x14ac:dyDescent="0.3">
      <c r="A1" s="13" t="s">
        <v>14</v>
      </c>
      <c r="B1" s="13" t="s">
        <v>15</v>
      </c>
      <c r="C1" s="13" t="s">
        <v>6</v>
      </c>
      <c r="D1" s="13" t="s">
        <v>18</v>
      </c>
      <c r="E1" s="13" t="s">
        <v>19</v>
      </c>
      <c r="F1" s="13" t="s">
        <v>17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  <c r="L1" s="13" t="s">
        <v>16</v>
      </c>
      <c r="M1" s="13" t="s">
        <v>25</v>
      </c>
      <c r="N1" s="13" t="s">
        <v>26</v>
      </c>
      <c r="O1" s="13" t="s">
        <v>27</v>
      </c>
    </row>
    <row r="2" spans="1:15" x14ac:dyDescent="0.3">
      <c r="A2" s="14" t="s">
        <v>28</v>
      </c>
      <c r="B2" s="14" t="s">
        <v>29</v>
      </c>
      <c r="C2" s="14" t="s">
        <v>8</v>
      </c>
      <c r="D2" s="14" t="s">
        <v>30</v>
      </c>
      <c r="E2" s="15">
        <v>120</v>
      </c>
      <c r="F2" s="15">
        <v>40</v>
      </c>
      <c r="G2" s="16">
        <v>3.5</v>
      </c>
      <c r="H2" s="16">
        <v>6</v>
      </c>
      <c r="I2" s="14" t="s">
        <v>31</v>
      </c>
      <c r="J2" s="12">
        <f>SUMIFS('Stock In'!$D:$D,'Stock In'!$B:$B,A2)</f>
        <v>200</v>
      </c>
      <c r="K2" s="12">
        <f>SUMIFS('Stock Out'!$D:$D,'Stock Out'!$B:$B,A2)</f>
        <v>45</v>
      </c>
      <c r="L2" s="12">
        <f t="shared" ref="L2:L11" si="0">E2+J2-K2</f>
        <v>275</v>
      </c>
      <c r="M2" s="17">
        <f t="shared" ref="M2:M11" si="1">L2*G2</f>
        <v>962.5</v>
      </c>
      <c r="N2" s="11" t="str">
        <f t="shared" ref="N2:N11" si="2">IF(L2&lt;=F2,"Reorder Now","OK")</f>
        <v>OK</v>
      </c>
      <c r="O2" s="11" t="str">
        <f>IF(N2="Reorder Now",COUNTIF($N$2:N2,"Reorder Now"),"")</f>
        <v/>
      </c>
    </row>
    <row r="3" spans="1:15" x14ac:dyDescent="0.3">
      <c r="A3" s="14" t="s">
        <v>32</v>
      </c>
      <c r="B3" s="14" t="s">
        <v>33</v>
      </c>
      <c r="C3" s="14" t="s">
        <v>8</v>
      </c>
      <c r="D3" s="14" t="s">
        <v>34</v>
      </c>
      <c r="E3" s="15">
        <v>60</v>
      </c>
      <c r="F3" s="15">
        <v>20</v>
      </c>
      <c r="G3" s="16">
        <v>2.1</v>
      </c>
      <c r="H3" s="16">
        <v>4.5</v>
      </c>
      <c r="I3" s="14" t="s">
        <v>31</v>
      </c>
      <c r="J3" s="12">
        <f>SUMIFS('Stock In'!$D:$D,'Stock In'!$B:$B,A3)</f>
        <v>0</v>
      </c>
      <c r="K3" s="12">
        <f>SUMIFS('Stock Out'!$D:$D,'Stock Out'!$B:$B,A3)</f>
        <v>15</v>
      </c>
      <c r="L3" s="12">
        <f t="shared" si="0"/>
        <v>45</v>
      </c>
      <c r="M3" s="17">
        <f t="shared" si="1"/>
        <v>94.5</v>
      </c>
      <c r="N3" s="11" t="str">
        <f t="shared" si="2"/>
        <v>OK</v>
      </c>
      <c r="O3" s="11" t="str">
        <f>IF(N3="Reorder Now",COUNTIF($N$2:N3,"Reorder Now"),"")</f>
        <v/>
      </c>
    </row>
    <row r="4" spans="1:15" x14ac:dyDescent="0.3">
      <c r="A4" s="14" t="s">
        <v>35</v>
      </c>
      <c r="B4" s="14" t="s">
        <v>36</v>
      </c>
      <c r="C4" s="14" t="s">
        <v>9</v>
      </c>
      <c r="D4" s="14" t="s">
        <v>37</v>
      </c>
      <c r="E4" s="15">
        <v>35</v>
      </c>
      <c r="F4" s="15">
        <v>15</v>
      </c>
      <c r="G4" s="16">
        <v>8.75</v>
      </c>
      <c r="H4" s="16">
        <v>15.99</v>
      </c>
      <c r="I4" s="14" t="s">
        <v>38</v>
      </c>
      <c r="J4" s="12">
        <f>SUMIFS('Stock In'!$D:$D,'Stock In'!$B:$B,A4)</f>
        <v>20</v>
      </c>
      <c r="K4" s="12">
        <f>SUMIFS('Stock Out'!$D:$D,'Stock Out'!$B:$B,A4)</f>
        <v>12</v>
      </c>
      <c r="L4" s="12">
        <f t="shared" si="0"/>
        <v>43</v>
      </c>
      <c r="M4" s="17">
        <f t="shared" si="1"/>
        <v>376.25</v>
      </c>
      <c r="N4" s="11" t="str">
        <f t="shared" si="2"/>
        <v>OK</v>
      </c>
      <c r="O4" s="11" t="str">
        <f>IF(N4="Reorder Now",COUNTIF($N$2:N4,"Reorder Now"),"")</f>
        <v/>
      </c>
    </row>
    <row r="5" spans="1:15" x14ac:dyDescent="0.3">
      <c r="A5" s="14" t="s">
        <v>39</v>
      </c>
      <c r="B5" s="14" t="s">
        <v>40</v>
      </c>
      <c r="C5" s="14" t="s">
        <v>9</v>
      </c>
      <c r="D5" s="14" t="s">
        <v>37</v>
      </c>
      <c r="E5" s="15">
        <v>80</v>
      </c>
      <c r="F5" s="15">
        <v>30</v>
      </c>
      <c r="G5" s="16">
        <v>1.9</v>
      </c>
      <c r="H5" s="16">
        <v>4.99</v>
      </c>
      <c r="I5" s="14" t="s">
        <v>38</v>
      </c>
      <c r="J5" s="12">
        <f>SUMIFS('Stock In'!$D:$D,'Stock In'!$B:$B,A5)</f>
        <v>0</v>
      </c>
      <c r="K5" s="12">
        <f>SUMIFS('Stock Out'!$D:$D,'Stock Out'!$B:$B,A5)</f>
        <v>0</v>
      </c>
      <c r="L5" s="12">
        <f t="shared" si="0"/>
        <v>80</v>
      </c>
      <c r="M5" s="17">
        <f t="shared" si="1"/>
        <v>152</v>
      </c>
      <c r="N5" s="11" t="str">
        <f t="shared" si="2"/>
        <v>OK</v>
      </c>
      <c r="O5" s="11" t="str">
        <f>IF(N5="Reorder Now",COUNTIF($N$2:N5,"Reorder Now"),"")</f>
        <v/>
      </c>
    </row>
    <row r="6" spans="1:15" x14ac:dyDescent="0.3">
      <c r="A6" s="14" t="s">
        <v>41</v>
      </c>
      <c r="B6" s="14" t="s">
        <v>42</v>
      </c>
      <c r="C6" s="14" t="s">
        <v>10</v>
      </c>
      <c r="D6" s="14" t="s">
        <v>37</v>
      </c>
      <c r="E6" s="15">
        <v>50</v>
      </c>
      <c r="F6" s="15">
        <v>20</v>
      </c>
      <c r="G6" s="16">
        <v>4.2</v>
      </c>
      <c r="H6" s="16">
        <v>12</v>
      </c>
      <c r="I6" s="14" t="s">
        <v>43</v>
      </c>
      <c r="J6" s="12">
        <f>SUMIFS('Stock In'!$D:$D,'Stock In'!$B:$B,A6)</f>
        <v>30</v>
      </c>
      <c r="K6" s="12">
        <f>SUMIFS('Stock Out'!$D:$D,'Stock Out'!$B:$B,A6)</f>
        <v>0</v>
      </c>
      <c r="L6" s="12">
        <f t="shared" si="0"/>
        <v>80</v>
      </c>
      <c r="M6" s="17">
        <f t="shared" si="1"/>
        <v>336</v>
      </c>
      <c r="N6" s="11" t="str">
        <f t="shared" si="2"/>
        <v>OK</v>
      </c>
      <c r="O6" s="11" t="str">
        <f>IF(N6="Reorder Now",COUNTIF($N$2:N6,"Reorder Now"),"")</f>
        <v/>
      </c>
    </row>
    <row r="7" spans="1:15" x14ac:dyDescent="0.3">
      <c r="A7" s="14" t="s">
        <v>44</v>
      </c>
      <c r="B7" s="14" t="s">
        <v>45</v>
      </c>
      <c r="C7" s="14" t="s">
        <v>10</v>
      </c>
      <c r="D7" s="14" t="s">
        <v>37</v>
      </c>
      <c r="E7" s="15">
        <v>100</v>
      </c>
      <c r="F7" s="15">
        <v>25</v>
      </c>
      <c r="G7" s="16">
        <v>3.1</v>
      </c>
      <c r="H7" s="16">
        <v>9.99</v>
      </c>
      <c r="I7" s="14" t="s">
        <v>43</v>
      </c>
      <c r="J7" s="12">
        <f>SUMIFS('Stock In'!$D:$D,'Stock In'!$B:$B,A7)</f>
        <v>0</v>
      </c>
      <c r="K7" s="12">
        <f>SUMIFS('Stock Out'!$D:$D,'Stock Out'!$B:$B,A7)</f>
        <v>0</v>
      </c>
      <c r="L7" s="12">
        <f t="shared" si="0"/>
        <v>100</v>
      </c>
      <c r="M7" s="17">
        <f t="shared" si="1"/>
        <v>310</v>
      </c>
      <c r="N7" s="11" t="str">
        <f t="shared" si="2"/>
        <v>OK</v>
      </c>
      <c r="O7" s="11" t="str">
        <f>IF(N7="Reorder Now",COUNTIF($N$2:N7,"Reorder Now"),"")</f>
        <v/>
      </c>
    </row>
    <row r="8" spans="1:15" x14ac:dyDescent="0.3">
      <c r="A8" s="14" t="s">
        <v>46</v>
      </c>
      <c r="B8" s="14" t="s">
        <v>47</v>
      </c>
      <c r="C8" s="14" t="s">
        <v>8</v>
      </c>
      <c r="D8" s="14" t="s">
        <v>37</v>
      </c>
      <c r="E8" s="15">
        <v>18</v>
      </c>
      <c r="F8" s="15">
        <v>10</v>
      </c>
      <c r="G8" s="16">
        <v>42</v>
      </c>
      <c r="H8" s="16">
        <v>65</v>
      </c>
      <c r="I8" s="14" t="s">
        <v>31</v>
      </c>
      <c r="J8" s="12">
        <f>SUMIFS('Stock In'!$D:$D,'Stock In'!$B:$B,A8)</f>
        <v>10</v>
      </c>
      <c r="K8" s="12">
        <f>SUMIFS('Stock Out'!$D:$D,'Stock Out'!$B:$B,A8)</f>
        <v>0</v>
      </c>
      <c r="L8" s="12">
        <f t="shared" si="0"/>
        <v>28</v>
      </c>
      <c r="M8" s="17">
        <f t="shared" si="1"/>
        <v>1176</v>
      </c>
      <c r="N8" s="11" t="str">
        <f t="shared" si="2"/>
        <v>OK</v>
      </c>
      <c r="O8" s="11" t="str">
        <f>IF(N8="Reorder Now",COUNTIF($N$2:N8,"Reorder Now"),"")</f>
        <v/>
      </c>
    </row>
    <row r="9" spans="1:15" x14ac:dyDescent="0.3">
      <c r="A9" s="14" t="s">
        <v>48</v>
      </c>
      <c r="B9" s="14" t="s">
        <v>49</v>
      </c>
      <c r="C9" s="14" t="s">
        <v>11</v>
      </c>
      <c r="D9" s="14" t="s">
        <v>37</v>
      </c>
      <c r="E9" s="15">
        <v>300</v>
      </c>
      <c r="F9" s="15">
        <v>100</v>
      </c>
      <c r="G9" s="16">
        <v>0.55000000000000004</v>
      </c>
      <c r="H9" s="16">
        <v>1.2</v>
      </c>
      <c r="I9" s="14" t="s">
        <v>50</v>
      </c>
      <c r="J9" s="12">
        <f>SUMIFS('Stock In'!$D:$D,'Stock In'!$B:$B,A9)</f>
        <v>500</v>
      </c>
      <c r="K9" s="12">
        <f>SUMIFS('Stock Out'!$D:$D,'Stock Out'!$B:$B,A9)</f>
        <v>220</v>
      </c>
      <c r="L9" s="12">
        <f t="shared" si="0"/>
        <v>580</v>
      </c>
      <c r="M9" s="17">
        <f t="shared" si="1"/>
        <v>319</v>
      </c>
      <c r="N9" s="11" t="str">
        <f t="shared" si="2"/>
        <v>OK</v>
      </c>
      <c r="O9" s="11" t="str">
        <f>IF(N9="Reorder Now",COUNTIF($N$2:N9,"Reorder Now"),"")</f>
        <v/>
      </c>
    </row>
    <row r="10" spans="1:15" x14ac:dyDescent="0.3">
      <c r="A10" s="14" t="s">
        <v>51</v>
      </c>
      <c r="B10" s="14" t="s">
        <v>52</v>
      </c>
      <c r="C10" s="14" t="s">
        <v>11</v>
      </c>
      <c r="D10" s="14" t="s">
        <v>53</v>
      </c>
      <c r="E10" s="15">
        <v>25</v>
      </c>
      <c r="F10" s="15">
        <v>10</v>
      </c>
      <c r="G10" s="16">
        <v>9.8000000000000007</v>
      </c>
      <c r="H10" s="16">
        <v>18</v>
      </c>
      <c r="I10" s="14" t="s">
        <v>50</v>
      </c>
      <c r="J10" s="12">
        <f>SUMIFS('Stock In'!$D:$D,'Stock In'!$B:$B,A10)</f>
        <v>0</v>
      </c>
      <c r="K10" s="12">
        <f>SUMIFS('Stock Out'!$D:$D,'Stock Out'!$B:$B,A10)</f>
        <v>0</v>
      </c>
      <c r="L10" s="12">
        <f t="shared" si="0"/>
        <v>25</v>
      </c>
      <c r="M10" s="17">
        <f t="shared" si="1"/>
        <v>245.00000000000003</v>
      </c>
      <c r="N10" s="11" t="str">
        <f t="shared" si="2"/>
        <v>OK</v>
      </c>
      <c r="O10" s="11" t="str">
        <f>IF(N10="Reorder Now",COUNTIF($N$2:N10,"Reorder Now"),"")</f>
        <v/>
      </c>
    </row>
    <row r="11" spans="1:15" x14ac:dyDescent="0.3">
      <c r="A11" s="14" t="s">
        <v>54</v>
      </c>
      <c r="B11" s="14" t="s">
        <v>55</v>
      </c>
      <c r="C11" s="14" t="s">
        <v>10</v>
      </c>
      <c r="D11" s="14" t="s">
        <v>37</v>
      </c>
      <c r="E11" s="15">
        <v>15</v>
      </c>
      <c r="F11" s="15">
        <v>8</v>
      </c>
      <c r="G11" s="16">
        <v>11.5</v>
      </c>
      <c r="H11" s="16">
        <v>24.99</v>
      </c>
      <c r="I11" s="14" t="s">
        <v>43</v>
      </c>
      <c r="J11" s="12">
        <f>SUMIFS('Stock In'!$D:$D,'Stock In'!$B:$B,A11)</f>
        <v>0</v>
      </c>
      <c r="K11" s="12">
        <f>SUMIFS('Stock Out'!$D:$D,'Stock Out'!$B:$B,A11)</f>
        <v>9</v>
      </c>
      <c r="L11" s="12">
        <f t="shared" si="0"/>
        <v>6</v>
      </c>
      <c r="M11" s="17">
        <f t="shared" si="1"/>
        <v>69</v>
      </c>
      <c r="N11" s="11" t="str">
        <f t="shared" si="2"/>
        <v>Reorder Now</v>
      </c>
      <c r="O11" s="11">
        <f>IF(N11="Reorder Now",COUNTIF($N$2:N11,"Reorder Now"),"")</f>
        <v>1</v>
      </c>
    </row>
    <row r="12" spans="1:15" x14ac:dyDescent="0.3">
      <c r="G12" s="18"/>
      <c r="H12" s="18"/>
      <c r="J12" s="6" t="str">
        <f>IF(A12="","",SUMIFS('Stock In'!$D:$D,'Stock In'!$B:$B,A12))</f>
        <v/>
      </c>
      <c r="K12" s="6" t="str">
        <f>IF(A12="","",SUMIFS('Stock Out'!$D:$D,'Stock Out'!$B:$B,A12))</f>
        <v/>
      </c>
      <c r="L12" s="6" t="str">
        <f t="shared" ref="L12:L51" si="3">IF(A12="","",E12+J12-K12)</f>
        <v/>
      </c>
      <c r="M12" s="9" t="str">
        <f t="shared" ref="M12:M51" si="4">IF(A12="","",L12*G12)</f>
        <v/>
      </c>
      <c r="N12" s="6" t="str">
        <f t="shared" ref="N12:N51" si="5">IF(A12="","",IF(L12&lt;=F12,"Reorder Now","OK"))</f>
        <v/>
      </c>
      <c r="O12" s="6" t="str">
        <f>IF(N12="Reorder Now",COUNTIF($N$2:N12,"Reorder Now"),"")</f>
        <v/>
      </c>
    </row>
    <row r="13" spans="1:15" x14ac:dyDescent="0.3">
      <c r="G13" s="18"/>
      <c r="H13" s="18"/>
      <c r="J13" s="6" t="str">
        <f>IF(A13="","",SUMIFS('Stock In'!$D:$D,'Stock In'!$B:$B,A13))</f>
        <v/>
      </c>
      <c r="K13" s="6" t="str">
        <f>IF(A13="","",SUMIFS('Stock Out'!$D:$D,'Stock Out'!$B:$B,A13))</f>
        <v/>
      </c>
      <c r="L13" s="6" t="str">
        <f t="shared" si="3"/>
        <v/>
      </c>
      <c r="M13" s="9" t="str">
        <f t="shared" si="4"/>
        <v/>
      </c>
      <c r="N13" s="6" t="str">
        <f t="shared" si="5"/>
        <v/>
      </c>
      <c r="O13" s="6" t="str">
        <f>IF(N13="Reorder Now",COUNTIF($N$2:N13,"Reorder Now"),"")</f>
        <v/>
      </c>
    </row>
    <row r="14" spans="1:15" x14ac:dyDescent="0.3">
      <c r="G14" s="18"/>
      <c r="H14" s="18"/>
      <c r="J14" s="6" t="str">
        <f>IF(A14="","",SUMIFS('Stock In'!$D:$D,'Stock In'!$B:$B,A14))</f>
        <v/>
      </c>
      <c r="K14" s="6" t="str">
        <f>IF(A14="","",SUMIFS('Stock Out'!$D:$D,'Stock Out'!$B:$B,A14))</f>
        <v/>
      </c>
      <c r="L14" s="6" t="str">
        <f t="shared" si="3"/>
        <v/>
      </c>
      <c r="M14" s="9" t="str">
        <f t="shared" si="4"/>
        <v/>
      </c>
      <c r="N14" s="6" t="str">
        <f t="shared" si="5"/>
        <v/>
      </c>
      <c r="O14" s="6" t="str">
        <f>IF(N14="Reorder Now",COUNTIF($N$2:N14,"Reorder Now"),"")</f>
        <v/>
      </c>
    </row>
    <row r="15" spans="1:15" x14ac:dyDescent="0.3">
      <c r="G15" s="18"/>
      <c r="H15" s="18"/>
      <c r="J15" s="6" t="str">
        <f>IF(A15="","",SUMIFS('Stock In'!$D:$D,'Stock In'!$B:$B,A15))</f>
        <v/>
      </c>
      <c r="K15" s="6" t="str">
        <f>IF(A15="","",SUMIFS('Stock Out'!$D:$D,'Stock Out'!$B:$B,A15))</f>
        <v/>
      </c>
      <c r="L15" s="6" t="str">
        <f t="shared" si="3"/>
        <v/>
      </c>
      <c r="M15" s="9" t="str">
        <f t="shared" si="4"/>
        <v/>
      </c>
      <c r="N15" s="6" t="str">
        <f t="shared" si="5"/>
        <v/>
      </c>
      <c r="O15" s="6" t="str">
        <f>IF(N15="Reorder Now",COUNTIF($N$2:N15,"Reorder Now"),"")</f>
        <v/>
      </c>
    </row>
    <row r="16" spans="1:15" x14ac:dyDescent="0.3">
      <c r="G16" s="18"/>
      <c r="H16" s="18"/>
      <c r="J16" s="6" t="str">
        <f>IF(A16="","",SUMIFS('Stock In'!$D:$D,'Stock In'!$B:$B,A16))</f>
        <v/>
      </c>
      <c r="K16" s="6" t="str">
        <f>IF(A16="","",SUMIFS('Stock Out'!$D:$D,'Stock Out'!$B:$B,A16))</f>
        <v/>
      </c>
      <c r="L16" s="6" t="str">
        <f t="shared" si="3"/>
        <v/>
      </c>
      <c r="M16" s="9" t="str">
        <f t="shared" si="4"/>
        <v/>
      </c>
      <c r="N16" s="6" t="str">
        <f t="shared" si="5"/>
        <v/>
      </c>
      <c r="O16" s="6" t="str">
        <f>IF(N16="Reorder Now",COUNTIF($N$2:N16,"Reorder Now"),"")</f>
        <v/>
      </c>
    </row>
    <row r="17" spans="7:15" x14ac:dyDescent="0.3">
      <c r="G17" s="18"/>
      <c r="H17" s="18"/>
      <c r="J17" s="6" t="str">
        <f>IF(A17="","",SUMIFS('Stock In'!$D:$D,'Stock In'!$B:$B,A17))</f>
        <v/>
      </c>
      <c r="K17" s="6" t="str">
        <f>IF(A17="","",SUMIFS('Stock Out'!$D:$D,'Stock Out'!$B:$B,A17))</f>
        <v/>
      </c>
      <c r="L17" s="6" t="str">
        <f t="shared" si="3"/>
        <v/>
      </c>
      <c r="M17" s="9" t="str">
        <f t="shared" si="4"/>
        <v/>
      </c>
      <c r="N17" s="6" t="str">
        <f t="shared" si="5"/>
        <v/>
      </c>
      <c r="O17" s="6" t="str">
        <f>IF(N17="Reorder Now",COUNTIF($N$2:N17,"Reorder Now"),"")</f>
        <v/>
      </c>
    </row>
    <row r="18" spans="7:15" x14ac:dyDescent="0.3">
      <c r="G18" s="18"/>
      <c r="H18" s="18"/>
      <c r="J18" s="6" t="str">
        <f>IF(A18="","",SUMIFS('Stock In'!$D:$D,'Stock In'!$B:$B,A18))</f>
        <v/>
      </c>
      <c r="K18" s="6" t="str">
        <f>IF(A18="","",SUMIFS('Stock Out'!$D:$D,'Stock Out'!$B:$B,A18))</f>
        <v/>
      </c>
      <c r="L18" s="6" t="str">
        <f t="shared" si="3"/>
        <v/>
      </c>
      <c r="M18" s="9" t="str">
        <f t="shared" si="4"/>
        <v/>
      </c>
      <c r="N18" s="6" t="str">
        <f t="shared" si="5"/>
        <v/>
      </c>
      <c r="O18" s="6" t="str">
        <f>IF(N18="Reorder Now",COUNTIF($N$2:N18,"Reorder Now"),"")</f>
        <v/>
      </c>
    </row>
    <row r="19" spans="7:15" x14ac:dyDescent="0.3">
      <c r="G19" s="18"/>
      <c r="H19" s="18"/>
      <c r="J19" s="6" t="str">
        <f>IF(A19="","",SUMIFS('Stock In'!$D:$D,'Stock In'!$B:$B,A19))</f>
        <v/>
      </c>
      <c r="K19" s="6" t="str">
        <f>IF(A19="","",SUMIFS('Stock Out'!$D:$D,'Stock Out'!$B:$B,A19))</f>
        <v/>
      </c>
      <c r="L19" s="6" t="str">
        <f t="shared" si="3"/>
        <v/>
      </c>
      <c r="M19" s="9" t="str">
        <f t="shared" si="4"/>
        <v/>
      </c>
      <c r="N19" s="6" t="str">
        <f t="shared" si="5"/>
        <v/>
      </c>
      <c r="O19" s="6" t="str">
        <f>IF(N19="Reorder Now",COUNTIF($N$2:N19,"Reorder Now"),"")</f>
        <v/>
      </c>
    </row>
    <row r="20" spans="7:15" x14ac:dyDescent="0.3">
      <c r="G20" s="18"/>
      <c r="H20" s="18"/>
      <c r="J20" s="6" t="str">
        <f>IF(A20="","",SUMIFS('Stock In'!$D:$D,'Stock In'!$B:$B,A20))</f>
        <v/>
      </c>
      <c r="K20" s="6" t="str">
        <f>IF(A20="","",SUMIFS('Stock Out'!$D:$D,'Stock Out'!$B:$B,A20))</f>
        <v/>
      </c>
      <c r="L20" s="6" t="str">
        <f t="shared" si="3"/>
        <v/>
      </c>
      <c r="M20" s="9" t="str">
        <f t="shared" si="4"/>
        <v/>
      </c>
      <c r="N20" s="6" t="str">
        <f t="shared" si="5"/>
        <v/>
      </c>
      <c r="O20" s="6" t="str">
        <f>IF(N20="Reorder Now",COUNTIF($N$2:N20,"Reorder Now"),"")</f>
        <v/>
      </c>
    </row>
    <row r="21" spans="7:15" x14ac:dyDescent="0.3">
      <c r="G21" s="18"/>
      <c r="H21" s="18"/>
      <c r="J21" s="6" t="str">
        <f>IF(A21="","",SUMIFS('Stock In'!$D:$D,'Stock In'!$B:$B,A21))</f>
        <v/>
      </c>
      <c r="K21" s="6" t="str">
        <f>IF(A21="","",SUMIFS('Stock Out'!$D:$D,'Stock Out'!$B:$B,A21))</f>
        <v/>
      </c>
      <c r="L21" s="6" t="str">
        <f t="shared" si="3"/>
        <v/>
      </c>
      <c r="M21" s="9" t="str">
        <f t="shared" si="4"/>
        <v/>
      </c>
      <c r="N21" s="6" t="str">
        <f t="shared" si="5"/>
        <v/>
      </c>
      <c r="O21" s="6" t="str">
        <f>IF(N21="Reorder Now",COUNTIF($N$2:N21,"Reorder Now"),"")</f>
        <v/>
      </c>
    </row>
    <row r="22" spans="7:15" x14ac:dyDescent="0.3">
      <c r="G22" s="18"/>
      <c r="H22" s="18"/>
      <c r="J22" s="6" t="str">
        <f>IF(A22="","",SUMIFS('Stock In'!$D:$D,'Stock In'!$B:$B,A22))</f>
        <v/>
      </c>
      <c r="K22" s="6" t="str">
        <f>IF(A22="","",SUMIFS('Stock Out'!$D:$D,'Stock Out'!$B:$B,A22))</f>
        <v/>
      </c>
      <c r="L22" s="6" t="str">
        <f t="shared" si="3"/>
        <v/>
      </c>
      <c r="M22" s="9" t="str">
        <f t="shared" si="4"/>
        <v/>
      </c>
      <c r="N22" s="6" t="str">
        <f t="shared" si="5"/>
        <v/>
      </c>
      <c r="O22" s="6" t="str">
        <f>IF(N22="Reorder Now",COUNTIF($N$2:N22,"Reorder Now"),"")</f>
        <v/>
      </c>
    </row>
    <row r="23" spans="7:15" x14ac:dyDescent="0.3">
      <c r="G23" s="18"/>
      <c r="H23" s="18"/>
      <c r="J23" s="6" t="str">
        <f>IF(A23="","",SUMIFS('Stock In'!$D:$D,'Stock In'!$B:$B,A23))</f>
        <v/>
      </c>
      <c r="K23" s="6" t="str">
        <f>IF(A23="","",SUMIFS('Stock Out'!$D:$D,'Stock Out'!$B:$B,A23))</f>
        <v/>
      </c>
      <c r="L23" s="6" t="str">
        <f t="shared" si="3"/>
        <v/>
      </c>
      <c r="M23" s="9" t="str">
        <f t="shared" si="4"/>
        <v/>
      </c>
      <c r="N23" s="6" t="str">
        <f t="shared" si="5"/>
        <v/>
      </c>
      <c r="O23" s="6" t="str">
        <f>IF(N23="Reorder Now",COUNTIF($N$2:N23,"Reorder Now"),"")</f>
        <v/>
      </c>
    </row>
    <row r="24" spans="7:15" x14ac:dyDescent="0.3">
      <c r="G24" s="18"/>
      <c r="H24" s="18"/>
      <c r="J24" s="6" t="str">
        <f>IF(A24="","",SUMIFS('Stock In'!$D:$D,'Stock In'!$B:$B,A24))</f>
        <v/>
      </c>
      <c r="K24" s="6" t="str">
        <f>IF(A24="","",SUMIFS('Stock Out'!$D:$D,'Stock Out'!$B:$B,A24))</f>
        <v/>
      </c>
      <c r="L24" s="6" t="str">
        <f t="shared" si="3"/>
        <v/>
      </c>
      <c r="M24" s="9" t="str">
        <f t="shared" si="4"/>
        <v/>
      </c>
      <c r="N24" s="6" t="str">
        <f t="shared" si="5"/>
        <v/>
      </c>
      <c r="O24" s="6" t="str">
        <f>IF(N24="Reorder Now",COUNTIF($N$2:N24,"Reorder Now"),"")</f>
        <v/>
      </c>
    </row>
    <row r="25" spans="7:15" x14ac:dyDescent="0.3">
      <c r="G25" s="18"/>
      <c r="H25" s="18"/>
      <c r="J25" s="6" t="str">
        <f>IF(A25="","",SUMIFS('Stock In'!$D:$D,'Stock In'!$B:$B,A25))</f>
        <v/>
      </c>
      <c r="K25" s="6" t="str">
        <f>IF(A25="","",SUMIFS('Stock Out'!$D:$D,'Stock Out'!$B:$B,A25))</f>
        <v/>
      </c>
      <c r="L25" s="6" t="str">
        <f t="shared" si="3"/>
        <v/>
      </c>
      <c r="M25" s="9" t="str">
        <f t="shared" si="4"/>
        <v/>
      </c>
      <c r="N25" s="6" t="str">
        <f t="shared" si="5"/>
        <v/>
      </c>
      <c r="O25" s="6" t="str">
        <f>IF(N25="Reorder Now",COUNTIF($N$2:N25,"Reorder Now"),"")</f>
        <v/>
      </c>
    </row>
    <row r="26" spans="7:15" x14ac:dyDescent="0.3">
      <c r="G26" s="18"/>
      <c r="H26" s="18"/>
      <c r="J26" s="6" t="str">
        <f>IF(A26="","",SUMIFS('Stock In'!$D:$D,'Stock In'!$B:$B,A26))</f>
        <v/>
      </c>
      <c r="K26" s="6" t="str">
        <f>IF(A26="","",SUMIFS('Stock Out'!$D:$D,'Stock Out'!$B:$B,A26))</f>
        <v/>
      </c>
      <c r="L26" s="6" t="str">
        <f t="shared" si="3"/>
        <v/>
      </c>
      <c r="M26" s="9" t="str">
        <f t="shared" si="4"/>
        <v/>
      </c>
      <c r="N26" s="6" t="str">
        <f t="shared" si="5"/>
        <v/>
      </c>
      <c r="O26" s="6" t="str">
        <f>IF(N26="Reorder Now",COUNTIF($N$2:N26,"Reorder Now"),"")</f>
        <v/>
      </c>
    </row>
    <row r="27" spans="7:15" x14ac:dyDescent="0.3">
      <c r="G27" s="18"/>
      <c r="H27" s="18"/>
      <c r="J27" s="6" t="str">
        <f>IF(A27="","",SUMIFS('Stock In'!$D:$D,'Stock In'!$B:$B,A27))</f>
        <v/>
      </c>
      <c r="K27" s="6" t="str">
        <f>IF(A27="","",SUMIFS('Stock Out'!$D:$D,'Stock Out'!$B:$B,A27))</f>
        <v/>
      </c>
      <c r="L27" s="6" t="str">
        <f t="shared" si="3"/>
        <v/>
      </c>
      <c r="M27" s="9" t="str">
        <f t="shared" si="4"/>
        <v/>
      </c>
      <c r="N27" s="6" t="str">
        <f t="shared" si="5"/>
        <v/>
      </c>
      <c r="O27" s="6" t="str">
        <f>IF(N27="Reorder Now",COUNTIF($N$2:N27,"Reorder Now"),"")</f>
        <v/>
      </c>
    </row>
    <row r="28" spans="7:15" x14ac:dyDescent="0.3">
      <c r="G28" s="18"/>
      <c r="H28" s="18"/>
      <c r="J28" s="6" t="str">
        <f>IF(A28="","",SUMIFS('Stock In'!$D:$D,'Stock In'!$B:$B,A28))</f>
        <v/>
      </c>
      <c r="K28" s="6" t="str">
        <f>IF(A28="","",SUMIFS('Stock Out'!$D:$D,'Stock Out'!$B:$B,A28))</f>
        <v/>
      </c>
      <c r="L28" s="6" t="str">
        <f t="shared" si="3"/>
        <v/>
      </c>
      <c r="M28" s="9" t="str">
        <f t="shared" si="4"/>
        <v/>
      </c>
      <c r="N28" s="6" t="str">
        <f t="shared" si="5"/>
        <v/>
      </c>
      <c r="O28" s="6" t="str">
        <f>IF(N28="Reorder Now",COUNTIF($N$2:N28,"Reorder Now"),"")</f>
        <v/>
      </c>
    </row>
    <row r="29" spans="7:15" x14ac:dyDescent="0.3">
      <c r="G29" s="18"/>
      <c r="H29" s="18"/>
      <c r="J29" s="6" t="str">
        <f>IF(A29="","",SUMIFS('Stock In'!$D:$D,'Stock In'!$B:$B,A29))</f>
        <v/>
      </c>
      <c r="K29" s="6" t="str">
        <f>IF(A29="","",SUMIFS('Stock Out'!$D:$D,'Stock Out'!$B:$B,A29))</f>
        <v/>
      </c>
      <c r="L29" s="6" t="str">
        <f t="shared" si="3"/>
        <v/>
      </c>
      <c r="M29" s="9" t="str">
        <f t="shared" si="4"/>
        <v/>
      </c>
      <c r="N29" s="6" t="str">
        <f t="shared" si="5"/>
        <v/>
      </c>
      <c r="O29" s="6" t="str">
        <f>IF(N29="Reorder Now",COUNTIF($N$2:N29,"Reorder Now"),"")</f>
        <v/>
      </c>
    </row>
    <row r="30" spans="7:15" x14ac:dyDescent="0.3">
      <c r="G30" s="18"/>
      <c r="H30" s="18"/>
      <c r="J30" s="6" t="str">
        <f>IF(A30="","",SUMIFS('Stock In'!$D:$D,'Stock In'!$B:$B,A30))</f>
        <v/>
      </c>
      <c r="K30" s="6" t="str">
        <f>IF(A30="","",SUMIFS('Stock Out'!$D:$D,'Stock Out'!$B:$B,A30))</f>
        <v/>
      </c>
      <c r="L30" s="6" t="str">
        <f t="shared" si="3"/>
        <v/>
      </c>
      <c r="M30" s="9" t="str">
        <f t="shared" si="4"/>
        <v/>
      </c>
      <c r="N30" s="6" t="str">
        <f t="shared" si="5"/>
        <v/>
      </c>
      <c r="O30" s="6" t="str">
        <f>IF(N30="Reorder Now",COUNTIF($N$2:N30,"Reorder Now"),"")</f>
        <v/>
      </c>
    </row>
    <row r="31" spans="7:15" x14ac:dyDescent="0.3">
      <c r="G31" s="18"/>
      <c r="H31" s="18"/>
      <c r="J31" s="6" t="str">
        <f>IF(A31="","",SUMIFS('Stock In'!$D:$D,'Stock In'!$B:$B,A31))</f>
        <v/>
      </c>
      <c r="K31" s="6" t="str">
        <f>IF(A31="","",SUMIFS('Stock Out'!$D:$D,'Stock Out'!$B:$B,A31))</f>
        <v/>
      </c>
      <c r="L31" s="6" t="str">
        <f t="shared" si="3"/>
        <v/>
      </c>
      <c r="M31" s="9" t="str">
        <f t="shared" si="4"/>
        <v/>
      </c>
      <c r="N31" s="6" t="str">
        <f t="shared" si="5"/>
        <v/>
      </c>
      <c r="O31" s="6" t="str">
        <f>IF(N31="Reorder Now",COUNTIF($N$2:N31,"Reorder Now"),"")</f>
        <v/>
      </c>
    </row>
    <row r="32" spans="7:15" x14ac:dyDescent="0.3">
      <c r="G32" s="18"/>
      <c r="H32" s="18"/>
      <c r="J32" s="6" t="str">
        <f>IF(A32="","",SUMIFS('Stock In'!$D:$D,'Stock In'!$B:$B,A32))</f>
        <v/>
      </c>
      <c r="K32" s="6" t="str">
        <f>IF(A32="","",SUMIFS('Stock Out'!$D:$D,'Stock Out'!$B:$B,A32))</f>
        <v/>
      </c>
      <c r="L32" s="6" t="str">
        <f t="shared" si="3"/>
        <v/>
      </c>
      <c r="M32" s="9" t="str">
        <f t="shared" si="4"/>
        <v/>
      </c>
      <c r="N32" s="6" t="str">
        <f t="shared" si="5"/>
        <v/>
      </c>
      <c r="O32" s="6" t="str">
        <f>IF(N32="Reorder Now",COUNTIF($N$2:N32,"Reorder Now"),"")</f>
        <v/>
      </c>
    </row>
    <row r="33" spans="7:15" x14ac:dyDescent="0.3">
      <c r="G33" s="18"/>
      <c r="H33" s="18"/>
      <c r="J33" s="6" t="str">
        <f>IF(A33="","",SUMIFS('Stock In'!$D:$D,'Stock In'!$B:$B,A33))</f>
        <v/>
      </c>
      <c r="K33" s="6" t="str">
        <f>IF(A33="","",SUMIFS('Stock Out'!$D:$D,'Stock Out'!$B:$B,A33))</f>
        <v/>
      </c>
      <c r="L33" s="6" t="str">
        <f t="shared" si="3"/>
        <v/>
      </c>
      <c r="M33" s="9" t="str">
        <f t="shared" si="4"/>
        <v/>
      </c>
      <c r="N33" s="6" t="str">
        <f t="shared" si="5"/>
        <v/>
      </c>
      <c r="O33" s="6" t="str">
        <f>IF(N33="Reorder Now",COUNTIF($N$2:N33,"Reorder Now"),"")</f>
        <v/>
      </c>
    </row>
    <row r="34" spans="7:15" x14ac:dyDescent="0.3">
      <c r="G34" s="18"/>
      <c r="H34" s="18"/>
      <c r="J34" s="6" t="str">
        <f>IF(A34="","",SUMIFS('Stock In'!$D:$D,'Stock In'!$B:$B,A34))</f>
        <v/>
      </c>
      <c r="K34" s="6" t="str">
        <f>IF(A34="","",SUMIFS('Stock Out'!$D:$D,'Stock Out'!$B:$B,A34))</f>
        <v/>
      </c>
      <c r="L34" s="6" t="str">
        <f t="shared" si="3"/>
        <v/>
      </c>
      <c r="M34" s="9" t="str">
        <f t="shared" si="4"/>
        <v/>
      </c>
      <c r="N34" s="6" t="str">
        <f t="shared" si="5"/>
        <v/>
      </c>
      <c r="O34" s="6" t="str">
        <f>IF(N34="Reorder Now",COUNTIF($N$2:N34,"Reorder Now"),"")</f>
        <v/>
      </c>
    </row>
    <row r="35" spans="7:15" x14ac:dyDescent="0.3">
      <c r="G35" s="18"/>
      <c r="H35" s="18"/>
      <c r="J35" s="6" t="str">
        <f>IF(A35="","",SUMIFS('Stock In'!$D:$D,'Stock In'!$B:$B,A35))</f>
        <v/>
      </c>
      <c r="K35" s="6" t="str">
        <f>IF(A35="","",SUMIFS('Stock Out'!$D:$D,'Stock Out'!$B:$B,A35))</f>
        <v/>
      </c>
      <c r="L35" s="6" t="str">
        <f t="shared" si="3"/>
        <v/>
      </c>
      <c r="M35" s="9" t="str">
        <f t="shared" si="4"/>
        <v/>
      </c>
      <c r="N35" s="6" t="str">
        <f t="shared" si="5"/>
        <v/>
      </c>
      <c r="O35" s="6" t="str">
        <f>IF(N35="Reorder Now",COUNTIF($N$2:N35,"Reorder Now"),"")</f>
        <v/>
      </c>
    </row>
    <row r="36" spans="7:15" x14ac:dyDescent="0.3">
      <c r="G36" s="18"/>
      <c r="H36" s="18"/>
      <c r="J36" s="6" t="str">
        <f>IF(A36="","",SUMIFS('Stock In'!$D:$D,'Stock In'!$B:$B,A36))</f>
        <v/>
      </c>
      <c r="K36" s="6" t="str">
        <f>IF(A36="","",SUMIFS('Stock Out'!$D:$D,'Stock Out'!$B:$B,A36))</f>
        <v/>
      </c>
      <c r="L36" s="6" t="str">
        <f t="shared" si="3"/>
        <v/>
      </c>
      <c r="M36" s="9" t="str">
        <f t="shared" si="4"/>
        <v/>
      </c>
      <c r="N36" s="6" t="str">
        <f t="shared" si="5"/>
        <v/>
      </c>
      <c r="O36" s="6" t="str">
        <f>IF(N36="Reorder Now",COUNTIF($N$2:N36,"Reorder Now"),"")</f>
        <v/>
      </c>
    </row>
    <row r="37" spans="7:15" x14ac:dyDescent="0.3">
      <c r="G37" s="18"/>
      <c r="H37" s="18"/>
      <c r="J37" s="6" t="str">
        <f>IF(A37="","",SUMIFS('Stock In'!$D:$D,'Stock In'!$B:$B,A37))</f>
        <v/>
      </c>
      <c r="K37" s="6" t="str">
        <f>IF(A37="","",SUMIFS('Stock Out'!$D:$D,'Stock Out'!$B:$B,A37))</f>
        <v/>
      </c>
      <c r="L37" s="6" t="str">
        <f t="shared" si="3"/>
        <v/>
      </c>
      <c r="M37" s="9" t="str">
        <f t="shared" si="4"/>
        <v/>
      </c>
      <c r="N37" s="6" t="str">
        <f t="shared" si="5"/>
        <v/>
      </c>
      <c r="O37" s="6" t="str">
        <f>IF(N37="Reorder Now",COUNTIF($N$2:N37,"Reorder Now"),"")</f>
        <v/>
      </c>
    </row>
    <row r="38" spans="7:15" x14ac:dyDescent="0.3">
      <c r="G38" s="18"/>
      <c r="H38" s="18"/>
      <c r="J38" s="6" t="str">
        <f>IF(A38="","",SUMIFS('Stock In'!$D:$D,'Stock In'!$B:$B,A38))</f>
        <v/>
      </c>
      <c r="K38" s="6" t="str">
        <f>IF(A38="","",SUMIFS('Stock Out'!$D:$D,'Stock Out'!$B:$B,A38))</f>
        <v/>
      </c>
      <c r="L38" s="6" t="str">
        <f t="shared" si="3"/>
        <v/>
      </c>
      <c r="M38" s="9" t="str">
        <f t="shared" si="4"/>
        <v/>
      </c>
      <c r="N38" s="6" t="str">
        <f t="shared" si="5"/>
        <v/>
      </c>
      <c r="O38" s="6" t="str">
        <f>IF(N38="Reorder Now",COUNTIF($N$2:N38,"Reorder Now"),"")</f>
        <v/>
      </c>
    </row>
    <row r="39" spans="7:15" x14ac:dyDescent="0.3">
      <c r="G39" s="18"/>
      <c r="H39" s="18"/>
      <c r="J39" s="6" t="str">
        <f>IF(A39="","",SUMIFS('Stock In'!$D:$D,'Stock In'!$B:$B,A39))</f>
        <v/>
      </c>
      <c r="K39" s="6" t="str">
        <f>IF(A39="","",SUMIFS('Stock Out'!$D:$D,'Stock Out'!$B:$B,A39))</f>
        <v/>
      </c>
      <c r="L39" s="6" t="str">
        <f t="shared" si="3"/>
        <v/>
      </c>
      <c r="M39" s="9" t="str">
        <f t="shared" si="4"/>
        <v/>
      </c>
      <c r="N39" s="6" t="str">
        <f t="shared" si="5"/>
        <v/>
      </c>
      <c r="O39" s="6" t="str">
        <f>IF(N39="Reorder Now",COUNTIF($N$2:N39,"Reorder Now"),"")</f>
        <v/>
      </c>
    </row>
    <row r="40" spans="7:15" x14ac:dyDescent="0.3">
      <c r="G40" s="18"/>
      <c r="H40" s="18"/>
      <c r="J40" s="6" t="str">
        <f>IF(A40="","",SUMIFS('Stock In'!$D:$D,'Stock In'!$B:$B,A40))</f>
        <v/>
      </c>
      <c r="K40" s="6" t="str">
        <f>IF(A40="","",SUMIFS('Stock Out'!$D:$D,'Stock Out'!$B:$B,A40))</f>
        <v/>
      </c>
      <c r="L40" s="6" t="str">
        <f t="shared" si="3"/>
        <v/>
      </c>
      <c r="M40" s="9" t="str">
        <f t="shared" si="4"/>
        <v/>
      </c>
      <c r="N40" s="6" t="str">
        <f t="shared" si="5"/>
        <v/>
      </c>
      <c r="O40" s="6" t="str">
        <f>IF(N40="Reorder Now",COUNTIF($N$2:N40,"Reorder Now"),"")</f>
        <v/>
      </c>
    </row>
    <row r="41" spans="7:15" x14ac:dyDescent="0.3">
      <c r="G41" s="18"/>
      <c r="H41" s="18"/>
      <c r="J41" s="6" t="str">
        <f>IF(A41="","",SUMIFS('Stock In'!$D:$D,'Stock In'!$B:$B,A41))</f>
        <v/>
      </c>
      <c r="K41" s="6" t="str">
        <f>IF(A41="","",SUMIFS('Stock Out'!$D:$D,'Stock Out'!$B:$B,A41))</f>
        <v/>
      </c>
      <c r="L41" s="6" t="str">
        <f t="shared" si="3"/>
        <v/>
      </c>
      <c r="M41" s="9" t="str">
        <f t="shared" si="4"/>
        <v/>
      </c>
      <c r="N41" s="6" t="str">
        <f t="shared" si="5"/>
        <v/>
      </c>
      <c r="O41" s="6" t="str">
        <f>IF(N41="Reorder Now",COUNTIF($N$2:N41,"Reorder Now"),"")</f>
        <v/>
      </c>
    </row>
    <row r="42" spans="7:15" x14ac:dyDescent="0.3">
      <c r="G42" s="18"/>
      <c r="H42" s="18"/>
      <c r="J42" s="6" t="str">
        <f>IF(A42="","",SUMIFS('Stock In'!$D:$D,'Stock In'!$B:$B,A42))</f>
        <v/>
      </c>
      <c r="K42" s="6" t="str">
        <f>IF(A42="","",SUMIFS('Stock Out'!$D:$D,'Stock Out'!$B:$B,A42))</f>
        <v/>
      </c>
      <c r="L42" s="6" t="str">
        <f t="shared" si="3"/>
        <v/>
      </c>
      <c r="M42" s="9" t="str">
        <f t="shared" si="4"/>
        <v/>
      </c>
      <c r="N42" s="6" t="str">
        <f t="shared" si="5"/>
        <v/>
      </c>
      <c r="O42" s="6" t="str">
        <f>IF(N42="Reorder Now",COUNTIF($N$2:N42,"Reorder Now"),"")</f>
        <v/>
      </c>
    </row>
    <row r="43" spans="7:15" x14ac:dyDescent="0.3">
      <c r="G43" s="18"/>
      <c r="H43" s="18"/>
      <c r="J43" s="6" t="str">
        <f>IF(A43="","",SUMIFS('Stock In'!$D:$D,'Stock In'!$B:$B,A43))</f>
        <v/>
      </c>
      <c r="K43" s="6" t="str">
        <f>IF(A43="","",SUMIFS('Stock Out'!$D:$D,'Stock Out'!$B:$B,A43))</f>
        <v/>
      </c>
      <c r="L43" s="6" t="str">
        <f t="shared" si="3"/>
        <v/>
      </c>
      <c r="M43" s="9" t="str">
        <f t="shared" si="4"/>
        <v/>
      </c>
      <c r="N43" s="6" t="str">
        <f t="shared" si="5"/>
        <v/>
      </c>
      <c r="O43" s="6" t="str">
        <f>IF(N43="Reorder Now",COUNTIF($N$2:N43,"Reorder Now"),"")</f>
        <v/>
      </c>
    </row>
    <row r="44" spans="7:15" x14ac:dyDescent="0.3">
      <c r="G44" s="18"/>
      <c r="H44" s="18"/>
      <c r="J44" s="6" t="str">
        <f>IF(A44="","",SUMIFS('Stock In'!$D:$D,'Stock In'!$B:$B,A44))</f>
        <v/>
      </c>
      <c r="K44" s="6" t="str">
        <f>IF(A44="","",SUMIFS('Stock Out'!$D:$D,'Stock Out'!$B:$B,A44))</f>
        <v/>
      </c>
      <c r="L44" s="6" t="str">
        <f t="shared" si="3"/>
        <v/>
      </c>
      <c r="M44" s="9" t="str">
        <f t="shared" si="4"/>
        <v/>
      </c>
      <c r="N44" s="6" t="str">
        <f t="shared" si="5"/>
        <v/>
      </c>
      <c r="O44" s="6" t="str">
        <f>IF(N44="Reorder Now",COUNTIF($N$2:N44,"Reorder Now"),"")</f>
        <v/>
      </c>
    </row>
    <row r="45" spans="7:15" x14ac:dyDescent="0.3">
      <c r="G45" s="18"/>
      <c r="H45" s="18"/>
      <c r="J45" s="6" t="str">
        <f>IF(A45="","",SUMIFS('Stock In'!$D:$D,'Stock In'!$B:$B,A45))</f>
        <v/>
      </c>
      <c r="K45" s="6" t="str">
        <f>IF(A45="","",SUMIFS('Stock Out'!$D:$D,'Stock Out'!$B:$B,A45))</f>
        <v/>
      </c>
      <c r="L45" s="6" t="str">
        <f t="shared" si="3"/>
        <v/>
      </c>
      <c r="M45" s="9" t="str">
        <f t="shared" si="4"/>
        <v/>
      </c>
      <c r="N45" s="6" t="str">
        <f t="shared" si="5"/>
        <v/>
      </c>
      <c r="O45" s="6" t="str">
        <f>IF(N45="Reorder Now",COUNTIF($N$2:N45,"Reorder Now"),"")</f>
        <v/>
      </c>
    </row>
    <row r="46" spans="7:15" x14ac:dyDescent="0.3">
      <c r="G46" s="18"/>
      <c r="H46" s="18"/>
      <c r="J46" s="6" t="str">
        <f>IF(A46="","",SUMIFS('Stock In'!$D:$D,'Stock In'!$B:$B,A46))</f>
        <v/>
      </c>
      <c r="K46" s="6" t="str">
        <f>IF(A46="","",SUMIFS('Stock Out'!$D:$D,'Stock Out'!$B:$B,A46))</f>
        <v/>
      </c>
      <c r="L46" s="6" t="str">
        <f t="shared" si="3"/>
        <v/>
      </c>
      <c r="M46" s="9" t="str">
        <f t="shared" si="4"/>
        <v/>
      </c>
      <c r="N46" s="6" t="str">
        <f t="shared" si="5"/>
        <v/>
      </c>
      <c r="O46" s="6" t="str">
        <f>IF(N46="Reorder Now",COUNTIF($N$2:N46,"Reorder Now"),"")</f>
        <v/>
      </c>
    </row>
    <row r="47" spans="7:15" x14ac:dyDescent="0.3">
      <c r="G47" s="18"/>
      <c r="H47" s="18"/>
      <c r="J47" s="6" t="str">
        <f>IF(A47="","",SUMIFS('Stock In'!$D:$D,'Stock In'!$B:$B,A47))</f>
        <v/>
      </c>
      <c r="K47" s="6" t="str">
        <f>IF(A47="","",SUMIFS('Stock Out'!$D:$D,'Stock Out'!$B:$B,A47))</f>
        <v/>
      </c>
      <c r="L47" s="6" t="str">
        <f t="shared" si="3"/>
        <v/>
      </c>
      <c r="M47" s="9" t="str">
        <f t="shared" si="4"/>
        <v/>
      </c>
      <c r="N47" s="6" t="str">
        <f t="shared" si="5"/>
        <v/>
      </c>
      <c r="O47" s="6" t="str">
        <f>IF(N47="Reorder Now",COUNTIF($N$2:N47,"Reorder Now"),"")</f>
        <v/>
      </c>
    </row>
    <row r="48" spans="7:15" x14ac:dyDescent="0.3">
      <c r="G48" s="18"/>
      <c r="H48" s="18"/>
      <c r="J48" s="6" t="str">
        <f>IF(A48="","",SUMIFS('Stock In'!$D:$D,'Stock In'!$B:$B,A48))</f>
        <v/>
      </c>
      <c r="K48" s="6" t="str">
        <f>IF(A48="","",SUMIFS('Stock Out'!$D:$D,'Stock Out'!$B:$B,A48))</f>
        <v/>
      </c>
      <c r="L48" s="6" t="str">
        <f t="shared" si="3"/>
        <v/>
      </c>
      <c r="M48" s="9" t="str">
        <f t="shared" si="4"/>
        <v/>
      </c>
      <c r="N48" s="6" t="str">
        <f t="shared" si="5"/>
        <v/>
      </c>
      <c r="O48" s="6" t="str">
        <f>IF(N48="Reorder Now",COUNTIF($N$2:N48,"Reorder Now"),"")</f>
        <v/>
      </c>
    </row>
    <row r="49" spans="7:15" x14ac:dyDescent="0.3">
      <c r="G49" s="18"/>
      <c r="H49" s="18"/>
      <c r="J49" s="6" t="str">
        <f>IF(A49="","",SUMIFS('Stock In'!$D:$D,'Stock In'!$B:$B,A49))</f>
        <v/>
      </c>
      <c r="K49" s="6" t="str">
        <f>IF(A49="","",SUMIFS('Stock Out'!$D:$D,'Stock Out'!$B:$B,A49))</f>
        <v/>
      </c>
      <c r="L49" s="6" t="str">
        <f t="shared" si="3"/>
        <v/>
      </c>
      <c r="M49" s="9" t="str">
        <f t="shared" si="4"/>
        <v/>
      </c>
      <c r="N49" s="6" t="str">
        <f t="shared" si="5"/>
        <v/>
      </c>
      <c r="O49" s="6" t="str">
        <f>IF(N49="Reorder Now",COUNTIF($N$2:N49,"Reorder Now"),"")</f>
        <v/>
      </c>
    </row>
    <row r="50" spans="7:15" x14ac:dyDescent="0.3">
      <c r="G50" s="18"/>
      <c r="H50" s="18"/>
      <c r="J50" s="6" t="str">
        <f>IF(A50="","",SUMIFS('Stock In'!$D:$D,'Stock In'!$B:$B,A50))</f>
        <v/>
      </c>
      <c r="K50" s="6" t="str">
        <f>IF(A50="","",SUMIFS('Stock Out'!$D:$D,'Stock Out'!$B:$B,A50))</f>
        <v/>
      </c>
      <c r="L50" s="6" t="str">
        <f t="shared" si="3"/>
        <v/>
      </c>
      <c r="M50" s="9" t="str">
        <f t="shared" si="4"/>
        <v/>
      </c>
      <c r="N50" s="6" t="str">
        <f t="shared" si="5"/>
        <v/>
      </c>
      <c r="O50" s="6" t="str">
        <f>IF(N50="Reorder Now",COUNTIF($N$2:N50,"Reorder Now"),"")</f>
        <v/>
      </c>
    </row>
    <row r="51" spans="7:15" x14ac:dyDescent="0.3">
      <c r="G51" s="18"/>
      <c r="H51" s="18"/>
      <c r="J51" s="6" t="str">
        <f>IF(A51="","",SUMIFS('Stock In'!$D:$D,'Stock In'!$B:$B,A51))</f>
        <v/>
      </c>
      <c r="K51" s="6" t="str">
        <f>IF(A51="","",SUMIFS('Stock Out'!$D:$D,'Stock Out'!$B:$B,A51))</f>
        <v/>
      </c>
      <c r="L51" s="6" t="str">
        <f t="shared" si="3"/>
        <v/>
      </c>
      <c r="M51" s="9" t="str">
        <f t="shared" si="4"/>
        <v/>
      </c>
      <c r="N51" s="6" t="str">
        <f t="shared" si="5"/>
        <v/>
      </c>
      <c r="O51" s="6" t="str">
        <f>IF(N51="Reorder Now",COUNTIF($N$2:N51,"Reorder Now"),"")</f>
        <v/>
      </c>
    </row>
  </sheetData>
  <conditionalFormatting sqref="N2:N51">
    <cfRule type="expression" dxfId="1" priority="2">
      <formula>N2="Reorder Now"</formula>
    </cfRule>
    <cfRule type="expression" dxfId="0" priority="3">
      <formula>N2="OK"</formula>
    </cfRule>
  </conditionalFormatting>
  <dataValidations count="1">
    <dataValidation type="list" allowBlank="1" sqref="C2:C51" xr:uid="{00000000-0002-0000-0200-000000000000}">
      <formula1>"Office Supplies,Electronics,Merchandise,Packaging,Other"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12" customWidth="1"/>
    <col min="3" max="3" width="26" customWidth="1"/>
    <col min="4" max="4" width="10" customWidth="1"/>
    <col min="5" max="5" width="13" customWidth="1"/>
    <col min="6" max="6" width="14" customWidth="1"/>
    <col min="7" max="7" width="18" customWidth="1"/>
    <col min="8" max="8" width="24" customWidth="1"/>
  </cols>
  <sheetData>
    <row r="1" spans="1:8" ht="27.75" customHeight="1" x14ac:dyDescent="0.3">
      <c r="A1" s="13" t="s">
        <v>56</v>
      </c>
      <c r="B1" s="13" t="s">
        <v>14</v>
      </c>
      <c r="C1" s="13" t="s">
        <v>15</v>
      </c>
      <c r="D1" s="13" t="s">
        <v>57</v>
      </c>
      <c r="E1" s="13" t="s">
        <v>20</v>
      </c>
      <c r="F1" s="13" t="s">
        <v>58</v>
      </c>
      <c r="G1" s="13" t="s">
        <v>22</v>
      </c>
      <c r="H1" s="13" t="s">
        <v>59</v>
      </c>
    </row>
    <row r="2" spans="1:8" x14ac:dyDescent="0.3">
      <c r="A2" s="19" t="s">
        <v>60</v>
      </c>
      <c r="B2" s="14" t="s">
        <v>28</v>
      </c>
      <c r="C2" s="11" t="str">
        <f>IFERROR(INDEX(Inventory!$B:$B,MATCH(B2,Inventory!$A:$A,0)),"")</f>
        <v>A4 Copy Paper (Ream)</v>
      </c>
      <c r="D2" s="14">
        <v>200</v>
      </c>
      <c r="E2" s="17">
        <f>IFERROR(INDEX(Inventory!$G:$G,MATCH(B2,Inventory!$A:$A,0)),"")</f>
        <v>3.5</v>
      </c>
      <c r="F2" s="17">
        <f>IFERROR(D2*E2,"")</f>
        <v>700</v>
      </c>
      <c r="G2" s="14" t="s">
        <v>31</v>
      </c>
      <c r="H2" s="14" t="s">
        <v>61</v>
      </c>
    </row>
    <row r="3" spans="1:8" x14ac:dyDescent="0.3">
      <c r="A3" s="19" t="s">
        <v>62</v>
      </c>
      <c r="B3" s="14" t="s">
        <v>35</v>
      </c>
      <c r="C3" s="11" t="str">
        <f>IFERROR(INDEX(Inventory!$B:$B,MATCH(B3,Inventory!$A:$A,0)),"")</f>
        <v>Wireless Mouse</v>
      </c>
      <c r="D3" s="14">
        <v>20</v>
      </c>
      <c r="E3" s="17">
        <f>IFERROR(INDEX(Inventory!$G:$G,MATCH(B3,Inventory!$A:$A,0)),"")</f>
        <v>8.75</v>
      </c>
      <c r="F3" s="17">
        <f>IFERROR(D3*E3,"")</f>
        <v>175</v>
      </c>
      <c r="G3" s="14" t="s">
        <v>38</v>
      </c>
      <c r="H3" s="14"/>
    </row>
    <row r="4" spans="1:8" x14ac:dyDescent="0.3">
      <c r="A4" s="19" t="s">
        <v>63</v>
      </c>
      <c r="B4" s="14" t="s">
        <v>46</v>
      </c>
      <c r="C4" s="11" t="str">
        <f>IFERROR(INDEX(Inventory!$B:$B,MATCH(B4,Inventory!$A:$A,0)),"")</f>
        <v>Printer Toner Cartridge</v>
      </c>
      <c r="D4" s="14">
        <v>10</v>
      </c>
      <c r="E4" s="17">
        <f>IFERROR(INDEX(Inventory!$G:$G,MATCH(B4,Inventory!$A:$A,0)),"")</f>
        <v>42</v>
      </c>
      <c r="F4" s="17">
        <f>IFERROR(D4*E4,"")</f>
        <v>420</v>
      </c>
      <c r="G4" s="14" t="s">
        <v>31</v>
      </c>
      <c r="H4" s="14"/>
    </row>
    <row r="5" spans="1:8" x14ac:dyDescent="0.3">
      <c r="A5" s="19" t="s">
        <v>64</v>
      </c>
      <c r="B5" s="14" t="s">
        <v>48</v>
      </c>
      <c r="C5" s="11" t="str">
        <f>IFERROR(INDEX(Inventory!$B:$B,MATCH(B5,Inventory!$A:$A,0)),"")</f>
        <v>Cardboard Shipping Box (M)</v>
      </c>
      <c r="D5" s="14">
        <v>500</v>
      </c>
      <c r="E5" s="17">
        <f>IFERROR(INDEX(Inventory!$G:$G,MATCH(B5,Inventory!$A:$A,0)),"")</f>
        <v>0.55000000000000004</v>
      </c>
      <c r="F5" s="17">
        <f>IFERROR(D5*E5,"")</f>
        <v>275</v>
      </c>
      <c r="G5" s="14" t="s">
        <v>50</v>
      </c>
      <c r="H5" s="14" t="s">
        <v>65</v>
      </c>
    </row>
    <row r="6" spans="1:8" x14ac:dyDescent="0.3">
      <c r="A6" s="19" t="s">
        <v>66</v>
      </c>
      <c r="B6" s="14" t="s">
        <v>41</v>
      </c>
      <c r="C6" s="11" t="str">
        <f>IFERROR(INDEX(Inventory!$B:$B,MATCH(B6,Inventory!$A:$A,0)),"")</f>
        <v>Stainless Steel Bottle 750ml</v>
      </c>
      <c r="D6" s="14">
        <v>30</v>
      </c>
      <c r="E6" s="17">
        <f>IFERROR(INDEX(Inventory!$G:$G,MATCH(B6,Inventory!$A:$A,0)),"")</f>
        <v>4.2</v>
      </c>
      <c r="F6" s="17">
        <f>IFERROR(D6*E6,"")</f>
        <v>126</v>
      </c>
      <c r="G6" s="14" t="s">
        <v>43</v>
      </c>
      <c r="H6" s="14"/>
    </row>
    <row r="7" spans="1:8" x14ac:dyDescent="0.3">
      <c r="C7" s="6" t="str">
        <f>IF(B7="","",IFERROR(INDEX(Inventory!$B:$B,MATCH(B7,Inventory!$A:$A,0)),"Unknown ID"))</f>
        <v/>
      </c>
      <c r="E7" s="9" t="str">
        <f>IF(B7="","",IFERROR(INDEX(Inventory!$G:$G,MATCH(B7,Inventory!$A:$A,0)),""))</f>
        <v/>
      </c>
      <c r="F7" s="9" t="str">
        <f t="shared" ref="F7:F38" si="0">IF(B7="","",IFERROR(D7*E7,""))</f>
        <v/>
      </c>
    </row>
    <row r="8" spans="1:8" x14ac:dyDescent="0.3">
      <c r="C8" s="6" t="str">
        <f>IF(B8="","",IFERROR(INDEX(Inventory!$B:$B,MATCH(B8,Inventory!$A:$A,0)),"Unknown ID"))</f>
        <v/>
      </c>
      <c r="E8" s="9" t="str">
        <f>IF(B8="","",IFERROR(INDEX(Inventory!$G:$G,MATCH(B8,Inventory!$A:$A,0)),""))</f>
        <v/>
      </c>
      <c r="F8" s="9" t="str">
        <f t="shared" si="0"/>
        <v/>
      </c>
    </row>
    <row r="9" spans="1:8" x14ac:dyDescent="0.3">
      <c r="C9" s="6" t="str">
        <f>IF(B9="","",IFERROR(INDEX(Inventory!$B:$B,MATCH(B9,Inventory!$A:$A,0)),"Unknown ID"))</f>
        <v/>
      </c>
      <c r="E9" s="9" t="str">
        <f>IF(B9="","",IFERROR(INDEX(Inventory!$G:$G,MATCH(B9,Inventory!$A:$A,0)),""))</f>
        <v/>
      </c>
      <c r="F9" s="9" t="str">
        <f t="shared" si="0"/>
        <v/>
      </c>
    </row>
    <row r="10" spans="1:8" x14ac:dyDescent="0.3">
      <c r="C10" s="6" t="str">
        <f>IF(B10="","",IFERROR(INDEX(Inventory!$B:$B,MATCH(B10,Inventory!$A:$A,0)),"Unknown ID"))</f>
        <v/>
      </c>
      <c r="E10" s="9" t="str">
        <f>IF(B10="","",IFERROR(INDEX(Inventory!$G:$G,MATCH(B10,Inventory!$A:$A,0)),""))</f>
        <v/>
      </c>
      <c r="F10" s="9" t="str">
        <f t="shared" si="0"/>
        <v/>
      </c>
    </row>
    <row r="11" spans="1:8" x14ac:dyDescent="0.3">
      <c r="C11" s="6" t="str">
        <f>IF(B11="","",IFERROR(INDEX(Inventory!$B:$B,MATCH(B11,Inventory!$A:$A,0)),"Unknown ID"))</f>
        <v/>
      </c>
      <c r="E11" s="9" t="str">
        <f>IF(B11="","",IFERROR(INDEX(Inventory!$G:$G,MATCH(B11,Inventory!$A:$A,0)),""))</f>
        <v/>
      </c>
      <c r="F11" s="9" t="str">
        <f t="shared" si="0"/>
        <v/>
      </c>
    </row>
    <row r="12" spans="1:8" x14ac:dyDescent="0.3">
      <c r="C12" s="6" t="str">
        <f>IF(B12="","",IFERROR(INDEX(Inventory!$B:$B,MATCH(B12,Inventory!$A:$A,0)),"Unknown ID"))</f>
        <v/>
      </c>
      <c r="E12" s="9" t="str">
        <f>IF(B12="","",IFERROR(INDEX(Inventory!$G:$G,MATCH(B12,Inventory!$A:$A,0)),""))</f>
        <v/>
      </c>
      <c r="F12" s="9" t="str">
        <f t="shared" si="0"/>
        <v/>
      </c>
    </row>
    <row r="13" spans="1:8" x14ac:dyDescent="0.3">
      <c r="C13" s="6" t="str">
        <f>IF(B13="","",IFERROR(INDEX(Inventory!$B:$B,MATCH(B13,Inventory!$A:$A,0)),"Unknown ID"))</f>
        <v/>
      </c>
      <c r="E13" s="9" t="str">
        <f>IF(B13="","",IFERROR(INDEX(Inventory!$G:$G,MATCH(B13,Inventory!$A:$A,0)),""))</f>
        <v/>
      </c>
      <c r="F13" s="9" t="str">
        <f t="shared" si="0"/>
        <v/>
      </c>
    </row>
    <row r="14" spans="1:8" x14ac:dyDescent="0.3">
      <c r="C14" s="6" t="str">
        <f>IF(B14="","",IFERROR(INDEX(Inventory!$B:$B,MATCH(B14,Inventory!$A:$A,0)),"Unknown ID"))</f>
        <v/>
      </c>
      <c r="E14" s="9" t="str">
        <f>IF(B14="","",IFERROR(INDEX(Inventory!$G:$G,MATCH(B14,Inventory!$A:$A,0)),""))</f>
        <v/>
      </c>
      <c r="F14" s="9" t="str">
        <f t="shared" si="0"/>
        <v/>
      </c>
    </row>
    <row r="15" spans="1:8" x14ac:dyDescent="0.3">
      <c r="C15" s="6" t="str">
        <f>IF(B15="","",IFERROR(INDEX(Inventory!$B:$B,MATCH(B15,Inventory!$A:$A,0)),"Unknown ID"))</f>
        <v/>
      </c>
      <c r="E15" s="9" t="str">
        <f>IF(B15="","",IFERROR(INDEX(Inventory!$G:$G,MATCH(B15,Inventory!$A:$A,0)),""))</f>
        <v/>
      </c>
      <c r="F15" s="9" t="str">
        <f t="shared" si="0"/>
        <v/>
      </c>
    </row>
    <row r="16" spans="1:8" x14ac:dyDescent="0.3">
      <c r="C16" s="6" t="str">
        <f>IF(B16="","",IFERROR(INDEX(Inventory!$B:$B,MATCH(B16,Inventory!$A:$A,0)),"Unknown ID"))</f>
        <v/>
      </c>
      <c r="E16" s="9" t="str">
        <f>IF(B16="","",IFERROR(INDEX(Inventory!$G:$G,MATCH(B16,Inventory!$A:$A,0)),""))</f>
        <v/>
      </c>
      <c r="F16" s="9" t="str">
        <f t="shared" si="0"/>
        <v/>
      </c>
    </row>
    <row r="17" spans="3:6" x14ac:dyDescent="0.3">
      <c r="C17" s="6" t="str">
        <f>IF(B17="","",IFERROR(INDEX(Inventory!$B:$B,MATCH(B17,Inventory!$A:$A,0)),"Unknown ID"))</f>
        <v/>
      </c>
      <c r="E17" s="9" t="str">
        <f>IF(B17="","",IFERROR(INDEX(Inventory!$G:$G,MATCH(B17,Inventory!$A:$A,0)),""))</f>
        <v/>
      </c>
      <c r="F17" s="9" t="str">
        <f t="shared" si="0"/>
        <v/>
      </c>
    </row>
    <row r="18" spans="3:6" x14ac:dyDescent="0.3">
      <c r="C18" s="6" t="str">
        <f>IF(B18="","",IFERROR(INDEX(Inventory!$B:$B,MATCH(B18,Inventory!$A:$A,0)),"Unknown ID"))</f>
        <v/>
      </c>
      <c r="E18" s="9" t="str">
        <f>IF(B18="","",IFERROR(INDEX(Inventory!$G:$G,MATCH(B18,Inventory!$A:$A,0)),""))</f>
        <v/>
      </c>
      <c r="F18" s="9" t="str">
        <f t="shared" si="0"/>
        <v/>
      </c>
    </row>
    <row r="19" spans="3:6" x14ac:dyDescent="0.3">
      <c r="C19" s="6" t="str">
        <f>IF(B19="","",IFERROR(INDEX(Inventory!$B:$B,MATCH(B19,Inventory!$A:$A,0)),"Unknown ID"))</f>
        <v/>
      </c>
      <c r="E19" s="9" t="str">
        <f>IF(B19="","",IFERROR(INDEX(Inventory!$G:$G,MATCH(B19,Inventory!$A:$A,0)),""))</f>
        <v/>
      </c>
      <c r="F19" s="9" t="str">
        <f t="shared" si="0"/>
        <v/>
      </c>
    </row>
    <row r="20" spans="3:6" x14ac:dyDescent="0.3">
      <c r="C20" s="6" t="str">
        <f>IF(B20="","",IFERROR(INDEX(Inventory!$B:$B,MATCH(B20,Inventory!$A:$A,0)),"Unknown ID"))</f>
        <v/>
      </c>
      <c r="E20" s="9" t="str">
        <f>IF(B20="","",IFERROR(INDEX(Inventory!$G:$G,MATCH(B20,Inventory!$A:$A,0)),""))</f>
        <v/>
      </c>
      <c r="F20" s="9" t="str">
        <f t="shared" si="0"/>
        <v/>
      </c>
    </row>
    <row r="21" spans="3:6" x14ac:dyDescent="0.3">
      <c r="C21" s="6" t="str">
        <f>IF(B21="","",IFERROR(INDEX(Inventory!$B:$B,MATCH(B21,Inventory!$A:$A,0)),"Unknown ID"))</f>
        <v/>
      </c>
      <c r="E21" s="9" t="str">
        <f>IF(B21="","",IFERROR(INDEX(Inventory!$G:$G,MATCH(B21,Inventory!$A:$A,0)),""))</f>
        <v/>
      </c>
      <c r="F21" s="9" t="str">
        <f t="shared" si="0"/>
        <v/>
      </c>
    </row>
    <row r="22" spans="3:6" x14ac:dyDescent="0.3">
      <c r="C22" s="6" t="str">
        <f>IF(B22="","",IFERROR(INDEX(Inventory!$B:$B,MATCH(B22,Inventory!$A:$A,0)),"Unknown ID"))</f>
        <v/>
      </c>
      <c r="E22" s="9" t="str">
        <f>IF(B22="","",IFERROR(INDEX(Inventory!$G:$G,MATCH(B22,Inventory!$A:$A,0)),""))</f>
        <v/>
      </c>
      <c r="F22" s="9" t="str">
        <f t="shared" si="0"/>
        <v/>
      </c>
    </row>
    <row r="23" spans="3:6" x14ac:dyDescent="0.3">
      <c r="C23" s="6" t="str">
        <f>IF(B23="","",IFERROR(INDEX(Inventory!$B:$B,MATCH(B23,Inventory!$A:$A,0)),"Unknown ID"))</f>
        <v/>
      </c>
      <c r="E23" s="9" t="str">
        <f>IF(B23="","",IFERROR(INDEX(Inventory!$G:$G,MATCH(B23,Inventory!$A:$A,0)),""))</f>
        <v/>
      </c>
      <c r="F23" s="9" t="str">
        <f t="shared" si="0"/>
        <v/>
      </c>
    </row>
    <row r="24" spans="3:6" x14ac:dyDescent="0.3">
      <c r="C24" s="6" t="str">
        <f>IF(B24="","",IFERROR(INDEX(Inventory!$B:$B,MATCH(B24,Inventory!$A:$A,0)),"Unknown ID"))</f>
        <v/>
      </c>
      <c r="E24" s="9" t="str">
        <f>IF(B24="","",IFERROR(INDEX(Inventory!$G:$G,MATCH(B24,Inventory!$A:$A,0)),""))</f>
        <v/>
      </c>
      <c r="F24" s="9" t="str">
        <f t="shared" si="0"/>
        <v/>
      </c>
    </row>
    <row r="25" spans="3:6" x14ac:dyDescent="0.3">
      <c r="C25" s="6" t="str">
        <f>IF(B25="","",IFERROR(INDEX(Inventory!$B:$B,MATCH(B25,Inventory!$A:$A,0)),"Unknown ID"))</f>
        <v/>
      </c>
      <c r="E25" s="9" t="str">
        <f>IF(B25="","",IFERROR(INDEX(Inventory!$G:$G,MATCH(B25,Inventory!$A:$A,0)),""))</f>
        <v/>
      </c>
      <c r="F25" s="9" t="str">
        <f t="shared" si="0"/>
        <v/>
      </c>
    </row>
    <row r="26" spans="3:6" x14ac:dyDescent="0.3">
      <c r="C26" s="6" t="str">
        <f>IF(B26="","",IFERROR(INDEX(Inventory!$B:$B,MATCH(B26,Inventory!$A:$A,0)),"Unknown ID"))</f>
        <v/>
      </c>
      <c r="E26" s="9" t="str">
        <f>IF(B26="","",IFERROR(INDEX(Inventory!$G:$G,MATCH(B26,Inventory!$A:$A,0)),""))</f>
        <v/>
      </c>
      <c r="F26" s="9" t="str">
        <f t="shared" si="0"/>
        <v/>
      </c>
    </row>
    <row r="27" spans="3:6" x14ac:dyDescent="0.3">
      <c r="C27" s="6" t="str">
        <f>IF(B27="","",IFERROR(INDEX(Inventory!$B:$B,MATCH(B27,Inventory!$A:$A,0)),"Unknown ID"))</f>
        <v/>
      </c>
      <c r="E27" s="9" t="str">
        <f>IF(B27="","",IFERROR(INDEX(Inventory!$G:$G,MATCH(B27,Inventory!$A:$A,0)),""))</f>
        <v/>
      </c>
      <c r="F27" s="9" t="str">
        <f t="shared" si="0"/>
        <v/>
      </c>
    </row>
    <row r="28" spans="3:6" x14ac:dyDescent="0.3">
      <c r="C28" s="6" t="str">
        <f>IF(B28="","",IFERROR(INDEX(Inventory!$B:$B,MATCH(B28,Inventory!$A:$A,0)),"Unknown ID"))</f>
        <v/>
      </c>
      <c r="E28" s="9" t="str">
        <f>IF(B28="","",IFERROR(INDEX(Inventory!$G:$G,MATCH(B28,Inventory!$A:$A,0)),""))</f>
        <v/>
      </c>
      <c r="F28" s="9" t="str">
        <f t="shared" si="0"/>
        <v/>
      </c>
    </row>
    <row r="29" spans="3:6" x14ac:dyDescent="0.3">
      <c r="C29" s="6" t="str">
        <f>IF(B29="","",IFERROR(INDEX(Inventory!$B:$B,MATCH(B29,Inventory!$A:$A,0)),"Unknown ID"))</f>
        <v/>
      </c>
      <c r="E29" s="9" t="str">
        <f>IF(B29="","",IFERROR(INDEX(Inventory!$G:$G,MATCH(B29,Inventory!$A:$A,0)),""))</f>
        <v/>
      </c>
      <c r="F29" s="9" t="str">
        <f t="shared" si="0"/>
        <v/>
      </c>
    </row>
    <row r="30" spans="3:6" x14ac:dyDescent="0.3">
      <c r="C30" s="6" t="str">
        <f>IF(B30="","",IFERROR(INDEX(Inventory!$B:$B,MATCH(B30,Inventory!$A:$A,0)),"Unknown ID"))</f>
        <v/>
      </c>
      <c r="E30" s="9" t="str">
        <f>IF(B30="","",IFERROR(INDEX(Inventory!$G:$G,MATCH(B30,Inventory!$A:$A,0)),""))</f>
        <v/>
      </c>
      <c r="F30" s="9" t="str">
        <f t="shared" si="0"/>
        <v/>
      </c>
    </row>
    <row r="31" spans="3:6" x14ac:dyDescent="0.3">
      <c r="C31" s="6" t="str">
        <f>IF(B31="","",IFERROR(INDEX(Inventory!$B:$B,MATCH(B31,Inventory!$A:$A,0)),"Unknown ID"))</f>
        <v/>
      </c>
      <c r="E31" s="9" t="str">
        <f>IF(B31="","",IFERROR(INDEX(Inventory!$G:$G,MATCH(B31,Inventory!$A:$A,0)),""))</f>
        <v/>
      </c>
      <c r="F31" s="9" t="str">
        <f t="shared" si="0"/>
        <v/>
      </c>
    </row>
    <row r="32" spans="3:6" x14ac:dyDescent="0.3">
      <c r="C32" s="6" t="str">
        <f>IF(B32="","",IFERROR(INDEX(Inventory!$B:$B,MATCH(B32,Inventory!$A:$A,0)),"Unknown ID"))</f>
        <v/>
      </c>
      <c r="E32" s="9" t="str">
        <f>IF(B32="","",IFERROR(INDEX(Inventory!$G:$G,MATCH(B32,Inventory!$A:$A,0)),""))</f>
        <v/>
      </c>
      <c r="F32" s="9" t="str">
        <f t="shared" si="0"/>
        <v/>
      </c>
    </row>
    <row r="33" spans="3:6" x14ac:dyDescent="0.3">
      <c r="C33" s="6" t="str">
        <f>IF(B33="","",IFERROR(INDEX(Inventory!$B:$B,MATCH(B33,Inventory!$A:$A,0)),"Unknown ID"))</f>
        <v/>
      </c>
      <c r="E33" s="9" t="str">
        <f>IF(B33="","",IFERROR(INDEX(Inventory!$G:$G,MATCH(B33,Inventory!$A:$A,0)),""))</f>
        <v/>
      </c>
      <c r="F33" s="9" t="str">
        <f t="shared" si="0"/>
        <v/>
      </c>
    </row>
    <row r="34" spans="3:6" x14ac:dyDescent="0.3">
      <c r="C34" s="6" t="str">
        <f>IF(B34="","",IFERROR(INDEX(Inventory!$B:$B,MATCH(B34,Inventory!$A:$A,0)),"Unknown ID"))</f>
        <v/>
      </c>
      <c r="E34" s="9" t="str">
        <f>IF(B34="","",IFERROR(INDEX(Inventory!$G:$G,MATCH(B34,Inventory!$A:$A,0)),""))</f>
        <v/>
      </c>
      <c r="F34" s="9" t="str">
        <f t="shared" si="0"/>
        <v/>
      </c>
    </row>
    <row r="35" spans="3:6" x14ac:dyDescent="0.3">
      <c r="C35" s="6" t="str">
        <f>IF(B35="","",IFERROR(INDEX(Inventory!$B:$B,MATCH(B35,Inventory!$A:$A,0)),"Unknown ID"))</f>
        <v/>
      </c>
      <c r="E35" s="9" t="str">
        <f>IF(B35="","",IFERROR(INDEX(Inventory!$G:$G,MATCH(B35,Inventory!$A:$A,0)),""))</f>
        <v/>
      </c>
      <c r="F35" s="9" t="str">
        <f t="shared" si="0"/>
        <v/>
      </c>
    </row>
    <row r="36" spans="3:6" x14ac:dyDescent="0.3">
      <c r="C36" s="6" t="str">
        <f>IF(B36="","",IFERROR(INDEX(Inventory!$B:$B,MATCH(B36,Inventory!$A:$A,0)),"Unknown ID"))</f>
        <v/>
      </c>
      <c r="E36" s="9" t="str">
        <f>IF(B36="","",IFERROR(INDEX(Inventory!$G:$G,MATCH(B36,Inventory!$A:$A,0)),""))</f>
        <v/>
      </c>
      <c r="F36" s="9" t="str">
        <f t="shared" si="0"/>
        <v/>
      </c>
    </row>
    <row r="37" spans="3:6" x14ac:dyDescent="0.3">
      <c r="C37" s="6" t="str">
        <f>IF(B37="","",IFERROR(INDEX(Inventory!$B:$B,MATCH(B37,Inventory!$A:$A,0)),"Unknown ID"))</f>
        <v/>
      </c>
      <c r="E37" s="9" t="str">
        <f>IF(B37="","",IFERROR(INDEX(Inventory!$G:$G,MATCH(B37,Inventory!$A:$A,0)),""))</f>
        <v/>
      </c>
      <c r="F37" s="9" t="str">
        <f t="shared" si="0"/>
        <v/>
      </c>
    </row>
    <row r="38" spans="3:6" x14ac:dyDescent="0.3">
      <c r="C38" s="6" t="str">
        <f>IF(B38="","",IFERROR(INDEX(Inventory!$B:$B,MATCH(B38,Inventory!$A:$A,0)),"Unknown ID"))</f>
        <v/>
      </c>
      <c r="E38" s="9" t="str">
        <f>IF(B38="","",IFERROR(INDEX(Inventory!$G:$G,MATCH(B38,Inventory!$A:$A,0)),""))</f>
        <v/>
      </c>
      <c r="F38" s="9" t="str">
        <f t="shared" si="0"/>
        <v/>
      </c>
    </row>
    <row r="39" spans="3:6" x14ac:dyDescent="0.3">
      <c r="C39" s="6" t="str">
        <f>IF(B39="","",IFERROR(INDEX(Inventory!$B:$B,MATCH(B39,Inventory!$A:$A,0)),"Unknown ID"))</f>
        <v/>
      </c>
      <c r="E39" s="9" t="str">
        <f>IF(B39="","",IFERROR(INDEX(Inventory!$G:$G,MATCH(B39,Inventory!$A:$A,0)),""))</f>
        <v/>
      </c>
      <c r="F39" s="9" t="str">
        <f t="shared" ref="F39:F70" si="1">IF(B39="","",IFERROR(D39*E39,""))</f>
        <v/>
      </c>
    </row>
    <row r="40" spans="3:6" x14ac:dyDescent="0.3">
      <c r="C40" s="6" t="str">
        <f>IF(B40="","",IFERROR(INDEX(Inventory!$B:$B,MATCH(B40,Inventory!$A:$A,0)),"Unknown ID"))</f>
        <v/>
      </c>
      <c r="E40" s="9" t="str">
        <f>IF(B40="","",IFERROR(INDEX(Inventory!$G:$G,MATCH(B40,Inventory!$A:$A,0)),""))</f>
        <v/>
      </c>
      <c r="F40" s="9" t="str">
        <f t="shared" si="1"/>
        <v/>
      </c>
    </row>
    <row r="41" spans="3:6" x14ac:dyDescent="0.3">
      <c r="C41" s="6" t="str">
        <f>IF(B41="","",IFERROR(INDEX(Inventory!$B:$B,MATCH(B41,Inventory!$A:$A,0)),"Unknown ID"))</f>
        <v/>
      </c>
      <c r="E41" s="9" t="str">
        <f>IF(B41="","",IFERROR(INDEX(Inventory!$G:$G,MATCH(B41,Inventory!$A:$A,0)),""))</f>
        <v/>
      </c>
      <c r="F41" s="9" t="str">
        <f t="shared" si="1"/>
        <v/>
      </c>
    </row>
    <row r="42" spans="3:6" x14ac:dyDescent="0.3">
      <c r="C42" s="6" t="str">
        <f>IF(B42="","",IFERROR(INDEX(Inventory!$B:$B,MATCH(B42,Inventory!$A:$A,0)),"Unknown ID"))</f>
        <v/>
      </c>
      <c r="E42" s="9" t="str">
        <f>IF(B42="","",IFERROR(INDEX(Inventory!$G:$G,MATCH(B42,Inventory!$A:$A,0)),""))</f>
        <v/>
      </c>
      <c r="F42" s="9" t="str">
        <f t="shared" si="1"/>
        <v/>
      </c>
    </row>
    <row r="43" spans="3:6" x14ac:dyDescent="0.3">
      <c r="C43" s="6" t="str">
        <f>IF(B43="","",IFERROR(INDEX(Inventory!$B:$B,MATCH(B43,Inventory!$A:$A,0)),"Unknown ID"))</f>
        <v/>
      </c>
      <c r="E43" s="9" t="str">
        <f>IF(B43="","",IFERROR(INDEX(Inventory!$G:$G,MATCH(B43,Inventory!$A:$A,0)),""))</f>
        <v/>
      </c>
      <c r="F43" s="9" t="str">
        <f t="shared" si="1"/>
        <v/>
      </c>
    </row>
    <row r="44" spans="3:6" x14ac:dyDescent="0.3">
      <c r="C44" s="6" t="str">
        <f>IF(B44="","",IFERROR(INDEX(Inventory!$B:$B,MATCH(B44,Inventory!$A:$A,0)),"Unknown ID"))</f>
        <v/>
      </c>
      <c r="E44" s="9" t="str">
        <f>IF(B44="","",IFERROR(INDEX(Inventory!$G:$G,MATCH(B44,Inventory!$A:$A,0)),""))</f>
        <v/>
      </c>
      <c r="F44" s="9" t="str">
        <f t="shared" si="1"/>
        <v/>
      </c>
    </row>
    <row r="45" spans="3:6" x14ac:dyDescent="0.3">
      <c r="C45" s="6" t="str">
        <f>IF(B45="","",IFERROR(INDEX(Inventory!$B:$B,MATCH(B45,Inventory!$A:$A,0)),"Unknown ID"))</f>
        <v/>
      </c>
      <c r="E45" s="9" t="str">
        <f>IF(B45="","",IFERROR(INDEX(Inventory!$G:$G,MATCH(B45,Inventory!$A:$A,0)),""))</f>
        <v/>
      </c>
      <c r="F45" s="9" t="str">
        <f t="shared" si="1"/>
        <v/>
      </c>
    </row>
    <row r="46" spans="3:6" x14ac:dyDescent="0.3">
      <c r="C46" s="6" t="str">
        <f>IF(B46="","",IFERROR(INDEX(Inventory!$B:$B,MATCH(B46,Inventory!$A:$A,0)),"Unknown ID"))</f>
        <v/>
      </c>
      <c r="E46" s="9" t="str">
        <f>IF(B46="","",IFERROR(INDEX(Inventory!$G:$G,MATCH(B46,Inventory!$A:$A,0)),""))</f>
        <v/>
      </c>
      <c r="F46" s="9" t="str">
        <f t="shared" si="1"/>
        <v/>
      </c>
    </row>
    <row r="47" spans="3:6" x14ac:dyDescent="0.3">
      <c r="C47" s="6" t="str">
        <f>IF(B47="","",IFERROR(INDEX(Inventory!$B:$B,MATCH(B47,Inventory!$A:$A,0)),"Unknown ID"))</f>
        <v/>
      </c>
      <c r="E47" s="9" t="str">
        <f>IF(B47="","",IFERROR(INDEX(Inventory!$G:$G,MATCH(B47,Inventory!$A:$A,0)),""))</f>
        <v/>
      </c>
      <c r="F47" s="9" t="str">
        <f t="shared" si="1"/>
        <v/>
      </c>
    </row>
    <row r="48" spans="3:6" x14ac:dyDescent="0.3">
      <c r="C48" s="6" t="str">
        <f>IF(B48="","",IFERROR(INDEX(Inventory!$B:$B,MATCH(B48,Inventory!$A:$A,0)),"Unknown ID"))</f>
        <v/>
      </c>
      <c r="E48" s="9" t="str">
        <f>IF(B48="","",IFERROR(INDEX(Inventory!$G:$G,MATCH(B48,Inventory!$A:$A,0)),""))</f>
        <v/>
      </c>
      <c r="F48" s="9" t="str">
        <f t="shared" si="1"/>
        <v/>
      </c>
    </row>
    <row r="49" spans="3:6" x14ac:dyDescent="0.3">
      <c r="C49" s="6" t="str">
        <f>IF(B49="","",IFERROR(INDEX(Inventory!$B:$B,MATCH(B49,Inventory!$A:$A,0)),"Unknown ID"))</f>
        <v/>
      </c>
      <c r="E49" s="9" t="str">
        <f>IF(B49="","",IFERROR(INDEX(Inventory!$G:$G,MATCH(B49,Inventory!$A:$A,0)),""))</f>
        <v/>
      </c>
      <c r="F49" s="9" t="str">
        <f t="shared" si="1"/>
        <v/>
      </c>
    </row>
    <row r="50" spans="3:6" x14ac:dyDescent="0.3">
      <c r="C50" s="6" t="str">
        <f>IF(B50="","",IFERROR(INDEX(Inventory!$B:$B,MATCH(B50,Inventory!$A:$A,0)),"Unknown ID"))</f>
        <v/>
      </c>
      <c r="E50" s="9" t="str">
        <f>IF(B50="","",IFERROR(INDEX(Inventory!$G:$G,MATCH(B50,Inventory!$A:$A,0)),""))</f>
        <v/>
      </c>
      <c r="F50" s="9" t="str">
        <f t="shared" si="1"/>
        <v/>
      </c>
    </row>
    <row r="51" spans="3:6" x14ac:dyDescent="0.3">
      <c r="C51" s="6" t="str">
        <f>IF(B51="","",IFERROR(INDEX(Inventory!$B:$B,MATCH(B51,Inventory!$A:$A,0)),"Unknown ID"))</f>
        <v/>
      </c>
      <c r="E51" s="9" t="str">
        <f>IF(B51="","",IFERROR(INDEX(Inventory!$G:$G,MATCH(B51,Inventory!$A:$A,0)),""))</f>
        <v/>
      </c>
      <c r="F51" s="9" t="str">
        <f t="shared" si="1"/>
        <v/>
      </c>
    </row>
    <row r="52" spans="3:6" x14ac:dyDescent="0.3">
      <c r="C52" s="6" t="str">
        <f>IF(B52="","",IFERROR(INDEX(Inventory!$B:$B,MATCH(B52,Inventory!$A:$A,0)),"Unknown ID"))</f>
        <v/>
      </c>
      <c r="E52" s="9" t="str">
        <f>IF(B52="","",IFERROR(INDEX(Inventory!$G:$G,MATCH(B52,Inventory!$A:$A,0)),""))</f>
        <v/>
      </c>
      <c r="F52" s="9" t="str">
        <f t="shared" si="1"/>
        <v/>
      </c>
    </row>
    <row r="53" spans="3:6" x14ac:dyDescent="0.3">
      <c r="C53" s="6" t="str">
        <f>IF(B53="","",IFERROR(INDEX(Inventory!$B:$B,MATCH(B53,Inventory!$A:$A,0)),"Unknown ID"))</f>
        <v/>
      </c>
      <c r="E53" s="9" t="str">
        <f>IF(B53="","",IFERROR(INDEX(Inventory!$G:$G,MATCH(B53,Inventory!$A:$A,0)),""))</f>
        <v/>
      </c>
      <c r="F53" s="9" t="str">
        <f t="shared" si="1"/>
        <v/>
      </c>
    </row>
    <row r="54" spans="3:6" x14ac:dyDescent="0.3">
      <c r="C54" s="6" t="str">
        <f>IF(B54="","",IFERROR(INDEX(Inventory!$B:$B,MATCH(B54,Inventory!$A:$A,0)),"Unknown ID"))</f>
        <v/>
      </c>
      <c r="E54" s="9" t="str">
        <f>IF(B54="","",IFERROR(INDEX(Inventory!$G:$G,MATCH(B54,Inventory!$A:$A,0)),""))</f>
        <v/>
      </c>
      <c r="F54" s="9" t="str">
        <f t="shared" si="1"/>
        <v/>
      </c>
    </row>
    <row r="55" spans="3:6" x14ac:dyDescent="0.3">
      <c r="C55" s="6" t="str">
        <f>IF(B55="","",IFERROR(INDEX(Inventory!$B:$B,MATCH(B55,Inventory!$A:$A,0)),"Unknown ID"))</f>
        <v/>
      </c>
      <c r="E55" s="9" t="str">
        <f>IF(B55="","",IFERROR(INDEX(Inventory!$G:$G,MATCH(B55,Inventory!$A:$A,0)),""))</f>
        <v/>
      </c>
      <c r="F55" s="9" t="str">
        <f t="shared" si="1"/>
        <v/>
      </c>
    </row>
    <row r="56" spans="3:6" x14ac:dyDescent="0.3">
      <c r="C56" s="6" t="str">
        <f>IF(B56="","",IFERROR(INDEX(Inventory!$B:$B,MATCH(B56,Inventory!$A:$A,0)),"Unknown ID"))</f>
        <v/>
      </c>
      <c r="E56" s="9" t="str">
        <f>IF(B56="","",IFERROR(INDEX(Inventory!$G:$G,MATCH(B56,Inventory!$A:$A,0)),""))</f>
        <v/>
      </c>
      <c r="F56" s="9" t="str">
        <f t="shared" si="1"/>
        <v/>
      </c>
    </row>
    <row r="57" spans="3:6" x14ac:dyDescent="0.3">
      <c r="C57" s="6" t="str">
        <f>IF(B57="","",IFERROR(INDEX(Inventory!$B:$B,MATCH(B57,Inventory!$A:$A,0)),"Unknown ID"))</f>
        <v/>
      </c>
      <c r="E57" s="9" t="str">
        <f>IF(B57="","",IFERROR(INDEX(Inventory!$G:$G,MATCH(B57,Inventory!$A:$A,0)),""))</f>
        <v/>
      </c>
      <c r="F57" s="9" t="str">
        <f t="shared" si="1"/>
        <v/>
      </c>
    </row>
    <row r="58" spans="3:6" x14ac:dyDescent="0.3">
      <c r="C58" s="6" t="str">
        <f>IF(B58="","",IFERROR(INDEX(Inventory!$B:$B,MATCH(B58,Inventory!$A:$A,0)),"Unknown ID"))</f>
        <v/>
      </c>
      <c r="E58" s="9" t="str">
        <f>IF(B58="","",IFERROR(INDEX(Inventory!$G:$G,MATCH(B58,Inventory!$A:$A,0)),""))</f>
        <v/>
      </c>
      <c r="F58" s="9" t="str">
        <f t="shared" si="1"/>
        <v/>
      </c>
    </row>
    <row r="59" spans="3:6" x14ac:dyDescent="0.3">
      <c r="C59" s="6" t="str">
        <f>IF(B59="","",IFERROR(INDEX(Inventory!$B:$B,MATCH(B59,Inventory!$A:$A,0)),"Unknown ID"))</f>
        <v/>
      </c>
      <c r="E59" s="9" t="str">
        <f>IF(B59="","",IFERROR(INDEX(Inventory!$G:$G,MATCH(B59,Inventory!$A:$A,0)),""))</f>
        <v/>
      </c>
      <c r="F59" s="9" t="str">
        <f t="shared" si="1"/>
        <v/>
      </c>
    </row>
    <row r="60" spans="3:6" x14ac:dyDescent="0.3">
      <c r="C60" s="6" t="str">
        <f>IF(B60="","",IFERROR(INDEX(Inventory!$B:$B,MATCH(B60,Inventory!$A:$A,0)),"Unknown ID"))</f>
        <v/>
      </c>
      <c r="E60" s="9" t="str">
        <f>IF(B60="","",IFERROR(INDEX(Inventory!$G:$G,MATCH(B60,Inventory!$A:$A,0)),""))</f>
        <v/>
      </c>
      <c r="F60" s="9" t="str">
        <f t="shared" si="1"/>
        <v/>
      </c>
    </row>
    <row r="61" spans="3:6" x14ac:dyDescent="0.3">
      <c r="C61" s="6" t="str">
        <f>IF(B61="","",IFERROR(INDEX(Inventory!$B:$B,MATCH(B61,Inventory!$A:$A,0)),"Unknown ID"))</f>
        <v/>
      </c>
      <c r="E61" s="9" t="str">
        <f>IF(B61="","",IFERROR(INDEX(Inventory!$G:$G,MATCH(B61,Inventory!$A:$A,0)),""))</f>
        <v/>
      </c>
      <c r="F61" s="9" t="str">
        <f t="shared" si="1"/>
        <v/>
      </c>
    </row>
    <row r="62" spans="3:6" x14ac:dyDescent="0.3">
      <c r="C62" s="6" t="str">
        <f>IF(B62="","",IFERROR(INDEX(Inventory!$B:$B,MATCH(B62,Inventory!$A:$A,0)),"Unknown ID"))</f>
        <v/>
      </c>
      <c r="E62" s="9" t="str">
        <f>IF(B62="","",IFERROR(INDEX(Inventory!$G:$G,MATCH(B62,Inventory!$A:$A,0)),""))</f>
        <v/>
      </c>
      <c r="F62" s="9" t="str">
        <f t="shared" si="1"/>
        <v/>
      </c>
    </row>
    <row r="63" spans="3:6" x14ac:dyDescent="0.3">
      <c r="C63" s="6" t="str">
        <f>IF(B63="","",IFERROR(INDEX(Inventory!$B:$B,MATCH(B63,Inventory!$A:$A,0)),"Unknown ID"))</f>
        <v/>
      </c>
      <c r="E63" s="9" t="str">
        <f>IF(B63="","",IFERROR(INDEX(Inventory!$G:$G,MATCH(B63,Inventory!$A:$A,0)),""))</f>
        <v/>
      </c>
      <c r="F63" s="9" t="str">
        <f t="shared" si="1"/>
        <v/>
      </c>
    </row>
    <row r="64" spans="3:6" x14ac:dyDescent="0.3">
      <c r="C64" s="6" t="str">
        <f>IF(B64="","",IFERROR(INDEX(Inventory!$B:$B,MATCH(B64,Inventory!$A:$A,0)),"Unknown ID"))</f>
        <v/>
      </c>
      <c r="E64" s="9" t="str">
        <f>IF(B64="","",IFERROR(INDEX(Inventory!$G:$G,MATCH(B64,Inventory!$A:$A,0)),""))</f>
        <v/>
      </c>
      <c r="F64" s="9" t="str">
        <f t="shared" si="1"/>
        <v/>
      </c>
    </row>
    <row r="65" spans="3:6" x14ac:dyDescent="0.3">
      <c r="C65" s="6" t="str">
        <f>IF(B65="","",IFERROR(INDEX(Inventory!$B:$B,MATCH(B65,Inventory!$A:$A,0)),"Unknown ID"))</f>
        <v/>
      </c>
      <c r="E65" s="9" t="str">
        <f>IF(B65="","",IFERROR(INDEX(Inventory!$G:$G,MATCH(B65,Inventory!$A:$A,0)),""))</f>
        <v/>
      </c>
      <c r="F65" s="9" t="str">
        <f t="shared" si="1"/>
        <v/>
      </c>
    </row>
    <row r="66" spans="3:6" x14ac:dyDescent="0.3">
      <c r="C66" s="6" t="str">
        <f>IF(B66="","",IFERROR(INDEX(Inventory!$B:$B,MATCH(B66,Inventory!$A:$A,0)),"Unknown ID"))</f>
        <v/>
      </c>
      <c r="E66" s="9" t="str">
        <f>IF(B66="","",IFERROR(INDEX(Inventory!$G:$G,MATCH(B66,Inventory!$A:$A,0)),""))</f>
        <v/>
      </c>
      <c r="F66" s="9" t="str">
        <f t="shared" si="1"/>
        <v/>
      </c>
    </row>
    <row r="67" spans="3:6" x14ac:dyDescent="0.3">
      <c r="C67" s="6" t="str">
        <f>IF(B67="","",IFERROR(INDEX(Inventory!$B:$B,MATCH(B67,Inventory!$A:$A,0)),"Unknown ID"))</f>
        <v/>
      </c>
      <c r="E67" s="9" t="str">
        <f>IF(B67="","",IFERROR(INDEX(Inventory!$G:$G,MATCH(B67,Inventory!$A:$A,0)),""))</f>
        <v/>
      </c>
      <c r="F67" s="9" t="str">
        <f t="shared" si="1"/>
        <v/>
      </c>
    </row>
    <row r="68" spans="3:6" x14ac:dyDescent="0.3">
      <c r="C68" s="6" t="str">
        <f>IF(B68="","",IFERROR(INDEX(Inventory!$B:$B,MATCH(B68,Inventory!$A:$A,0)),"Unknown ID"))</f>
        <v/>
      </c>
      <c r="E68" s="9" t="str">
        <f>IF(B68="","",IFERROR(INDEX(Inventory!$G:$G,MATCH(B68,Inventory!$A:$A,0)),""))</f>
        <v/>
      </c>
      <c r="F68" s="9" t="str">
        <f t="shared" si="1"/>
        <v/>
      </c>
    </row>
    <row r="69" spans="3:6" x14ac:dyDescent="0.3">
      <c r="C69" s="6" t="str">
        <f>IF(B69="","",IFERROR(INDEX(Inventory!$B:$B,MATCH(B69,Inventory!$A:$A,0)),"Unknown ID"))</f>
        <v/>
      </c>
      <c r="E69" s="9" t="str">
        <f>IF(B69="","",IFERROR(INDEX(Inventory!$G:$G,MATCH(B69,Inventory!$A:$A,0)),""))</f>
        <v/>
      </c>
      <c r="F69" s="9" t="str">
        <f t="shared" si="1"/>
        <v/>
      </c>
    </row>
    <row r="70" spans="3:6" x14ac:dyDescent="0.3">
      <c r="C70" s="6" t="str">
        <f>IF(B70="","",IFERROR(INDEX(Inventory!$B:$B,MATCH(B70,Inventory!$A:$A,0)),"Unknown ID"))</f>
        <v/>
      </c>
      <c r="E70" s="9" t="str">
        <f>IF(B70="","",IFERROR(INDEX(Inventory!$G:$G,MATCH(B70,Inventory!$A:$A,0)),""))</f>
        <v/>
      </c>
      <c r="F70" s="9" t="str">
        <f t="shared" si="1"/>
        <v/>
      </c>
    </row>
    <row r="71" spans="3:6" x14ac:dyDescent="0.3">
      <c r="C71" s="6" t="str">
        <f>IF(B71="","",IFERROR(INDEX(Inventory!$B:$B,MATCH(B71,Inventory!$A:$A,0)),"Unknown ID"))</f>
        <v/>
      </c>
      <c r="E71" s="9" t="str">
        <f>IF(B71="","",IFERROR(INDEX(Inventory!$G:$G,MATCH(B71,Inventory!$A:$A,0)),""))</f>
        <v/>
      </c>
      <c r="F71" s="9" t="str">
        <f t="shared" ref="F71:F102" si="2">IF(B71="","",IFERROR(D71*E71,""))</f>
        <v/>
      </c>
    </row>
    <row r="72" spans="3:6" x14ac:dyDescent="0.3">
      <c r="C72" s="6" t="str">
        <f>IF(B72="","",IFERROR(INDEX(Inventory!$B:$B,MATCH(B72,Inventory!$A:$A,0)),"Unknown ID"))</f>
        <v/>
      </c>
      <c r="E72" s="9" t="str">
        <f>IF(B72="","",IFERROR(INDEX(Inventory!$G:$G,MATCH(B72,Inventory!$A:$A,0)),""))</f>
        <v/>
      </c>
      <c r="F72" s="9" t="str">
        <f t="shared" si="2"/>
        <v/>
      </c>
    </row>
    <row r="73" spans="3:6" x14ac:dyDescent="0.3">
      <c r="C73" s="6" t="str">
        <f>IF(B73="","",IFERROR(INDEX(Inventory!$B:$B,MATCH(B73,Inventory!$A:$A,0)),"Unknown ID"))</f>
        <v/>
      </c>
      <c r="E73" s="9" t="str">
        <f>IF(B73="","",IFERROR(INDEX(Inventory!$G:$G,MATCH(B73,Inventory!$A:$A,0)),""))</f>
        <v/>
      </c>
      <c r="F73" s="9" t="str">
        <f t="shared" si="2"/>
        <v/>
      </c>
    </row>
    <row r="74" spans="3:6" x14ac:dyDescent="0.3">
      <c r="C74" s="6" t="str">
        <f>IF(B74="","",IFERROR(INDEX(Inventory!$B:$B,MATCH(B74,Inventory!$A:$A,0)),"Unknown ID"))</f>
        <v/>
      </c>
      <c r="E74" s="9" t="str">
        <f>IF(B74="","",IFERROR(INDEX(Inventory!$G:$G,MATCH(B74,Inventory!$A:$A,0)),""))</f>
        <v/>
      </c>
      <c r="F74" s="9" t="str">
        <f t="shared" si="2"/>
        <v/>
      </c>
    </row>
    <row r="75" spans="3:6" x14ac:dyDescent="0.3">
      <c r="C75" s="6" t="str">
        <f>IF(B75="","",IFERROR(INDEX(Inventory!$B:$B,MATCH(B75,Inventory!$A:$A,0)),"Unknown ID"))</f>
        <v/>
      </c>
      <c r="E75" s="9" t="str">
        <f>IF(B75="","",IFERROR(INDEX(Inventory!$G:$G,MATCH(B75,Inventory!$A:$A,0)),""))</f>
        <v/>
      </c>
      <c r="F75" s="9" t="str">
        <f t="shared" si="2"/>
        <v/>
      </c>
    </row>
    <row r="76" spans="3:6" x14ac:dyDescent="0.3">
      <c r="C76" s="6" t="str">
        <f>IF(B76="","",IFERROR(INDEX(Inventory!$B:$B,MATCH(B76,Inventory!$A:$A,0)),"Unknown ID"))</f>
        <v/>
      </c>
      <c r="E76" s="9" t="str">
        <f>IF(B76="","",IFERROR(INDEX(Inventory!$G:$G,MATCH(B76,Inventory!$A:$A,0)),""))</f>
        <v/>
      </c>
      <c r="F76" s="9" t="str">
        <f t="shared" si="2"/>
        <v/>
      </c>
    </row>
    <row r="77" spans="3:6" x14ac:dyDescent="0.3">
      <c r="C77" s="6" t="str">
        <f>IF(B77="","",IFERROR(INDEX(Inventory!$B:$B,MATCH(B77,Inventory!$A:$A,0)),"Unknown ID"))</f>
        <v/>
      </c>
      <c r="E77" s="9" t="str">
        <f>IF(B77="","",IFERROR(INDEX(Inventory!$G:$G,MATCH(B77,Inventory!$A:$A,0)),""))</f>
        <v/>
      </c>
      <c r="F77" s="9" t="str">
        <f t="shared" si="2"/>
        <v/>
      </c>
    </row>
    <row r="78" spans="3:6" x14ac:dyDescent="0.3">
      <c r="C78" s="6" t="str">
        <f>IF(B78="","",IFERROR(INDEX(Inventory!$B:$B,MATCH(B78,Inventory!$A:$A,0)),"Unknown ID"))</f>
        <v/>
      </c>
      <c r="E78" s="9" t="str">
        <f>IF(B78="","",IFERROR(INDEX(Inventory!$G:$G,MATCH(B78,Inventory!$A:$A,0)),""))</f>
        <v/>
      </c>
      <c r="F78" s="9" t="str">
        <f t="shared" si="2"/>
        <v/>
      </c>
    </row>
    <row r="79" spans="3:6" x14ac:dyDescent="0.3">
      <c r="C79" s="6" t="str">
        <f>IF(B79="","",IFERROR(INDEX(Inventory!$B:$B,MATCH(B79,Inventory!$A:$A,0)),"Unknown ID"))</f>
        <v/>
      </c>
      <c r="E79" s="9" t="str">
        <f>IF(B79="","",IFERROR(INDEX(Inventory!$G:$G,MATCH(B79,Inventory!$A:$A,0)),""))</f>
        <v/>
      </c>
      <c r="F79" s="9" t="str">
        <f t="shared" si="2"/>
        <v/>
      </c>
    </row>
    <row r="80" spans="3:6" x14ac:dyDescent="0.3">
      <c r="C80" s="6" t="str">
        <f>IF(B80="","",IFERROR(INDEX(Inventory!$B:$B,MATCH(B80,Inventory!$A:$A,0)),"Unknown ID"))</f>
        <v/>
      </c>
      <c r="E80" s="9" t="str">
        <f>IF(B80="","",IFERROR(INDEX(Inventory!$G:$G,MATCH(B80,Inventory!$A:$A,0)),""))</f>
        <v/>
      </c>
      <c r="F80" s="9" t="str">
        <f t="shared" si="2"/>
        <v/>
      </c>
    </row>
    <row r="81" spans="3:6" x14ac:dyDescent="0.3">
      <c r="C81" s="6" t="str">
        <f>IF(B81="","",IFERROR(INDEX(Inventory!$B:$B,MATCH(B81,Inventory!$A:$A,0)),"Unknown ID"))</f>
        <v/>
      </c>
      <c r="E81" s="9" t="str">
        <f>IF(B81="","",IFERROR(INDEX(Inventory!$G:$G,MATCH(B81,Inventory!$A:$A,0)),""))</f>
        <v/>
      </c>
      <c r="F81" s="9" t="str">
        <f t="shared" si="2"/>
        <v/>
      </c>
    </row>
    <row r="82" spans="3:6" x14ac:dyDescent="0.3">
      <c r="C82" s="6" t="str">
        <f>IF(B82="","",IFERROR(INDEX(Inventory!$B:$B,MATCH(B82,Inventory!$A:$A,0)),"Unknown ID"))</f>
        <v/>
      </c>
      <c r="E82" s="9" t="str">
        <f>IF(B82="","",IFERROR(INDEX(Inventory!$G:$G,MATCH(B82,Inventory!$A:$A,0)),""))</f>
        <v/>
      </c>
      <c r="F82" s="9" t="str">
        <f t="shared" si="2"/>
        <v/>
      </c>
    </row>
    <row r="83" spans="3:6" x14ac:dyDescent="0.3">
      <c r="C83" s="6" t="str">
        <f>IF(B83="","",IFERROR(INDEX(Inventory!$B:$B,MATCH(B83,Inventory!$A:$A,0)),"Unknown ID"))</f>
        <v/>
      </c>
      <c r="E83" s="9" t="str">
        <f>IF(B83="","",IFERROR(INDEX(Inventory!$G:$G,MATCH(B83,Inventory!$A:$A,0)),""))</f>
        <v/>
      </c>
      <c r="F83" s="9" t="str">
        <f t="shared" si="2"/>
        <v/>
      </c>
    </row>
    <row r="84" spans="3:6" x14ac:dyDescent="0.3">
      <c r="C84" s="6" t="str">
        <f>IF(B84="","",IFERROR(INDEX(Inventory!$B:$B,MATCH(B84,Inventory!$A:$A,0)),"Unknown ID"))</f>
        <v/>
      </c>
      <c r="E84" s="9" t="str">
        <f>IF(B84="","",IFERROR(INDEX(Inventory!$G:$G,MATCH(B84,Inventory!$A:$A,0)),""))</f>
        <v/>
      </c>
      <c r="F84" s="9" t="str">
        <f t="shared" si="2"/>
        <v/>
      </c>
    </row>
    <row r="85" spans="3:6" x14ac:dyDescent="0.3">
      <c r="C85" s="6" t="str">
        <f>IF(B85="","",IFERROR(INDEX(Inventory!$B:$B,MATCH(B85,Inventory!$A:$A,0)),"Unknown ID"))</f>
        <v/>
      </c>
      <c r="E85" s="9" t="str">
        <f>IF(B85="","",IFERROR(INDEX(Inventory!$G:$G,MATCH(B85,Inventory!$A:$A,0)),""))</f>
        <v/>
      </c>
      <c r="F85" s="9" t="str">
        <f t="shared" si="2"/>
        <v/>
      </c>
    </row>
    <row r="86" spans="3:6" x14ac:dyDescent="0.3">
      <c r="C86" s="6" t="str">
        <f>IF(B86="","",IFERROR(INDEX(Inventory!$B:$B,MATCH(B86,Inventory!$A:$A,0)),"Unknown ID"))</f>
        <v/>
      </c>
      <c r="E86" s="9" t="str">
        <f>IF(B86="","",IFERROR(INDEX(Inventory!$G:$G,MATCH(B86,Inventory!$A:$A,0)),""))</f>
        <v/>
      </c>
      <c r="F86" s="9" t="str">
        <f t="shared" si="2"/>
        <v/>
      </c>
    </row>
    <row r="87" spans="3:6" x14ac:dyDescent="0.3">
      <c r="C87" s="6" t="str">
        <f>IF(B87="","",IFERROR(INDEX(Inventory!$B:$B,MATCH(B87,Inventory!$A:$A,0)),"Unknown ID"))</f>
        <v/>
      </c>
      <c r="E87" s="9" t="str">
        <f>IF(B87="","",IFERROR(INDEX(Inventory!$G:$G,MATCH(B87,Inventory!$A:$A,0)),""))</f>
        <v/>
      </c>
      <c r="F87" s="9" t="str">
        <f t="shared" si="2"/>
        <v/>
      </c>
    </row>
    <row r="88" spans="3:6" x14ac:dyDescent="0.3">
      <c r="C88" s="6" t="str">
        <f>IF(B88="","",IFERROR(INDEX(Inventory!$B:$B,MATCH(B88,Inventory!$A:$A,0)),"Unknown ID"))</f>
        <v/>
      </c>
      <c r="E88" s="9" t="str">
        <f>IF(B88="","",IFERROR(INDEX(Inventory!$G:$G,MATCH(B88,Inventory!$A:$A,0)),""))</f>
        <v/>
      </c>
      <c r="F88" s="9" t="str">
        <f t="shared" si="2"/>
        <v/>
      </c>
    </row>
    <row r="89" spans="3:6" x14ac:dyDescent="0.3">
      <c r="C89" s="6" t="str">
        <f>IF(B89="","",IFERROR(INDEX(Inventory!$B:$B,MATCH(B89,Inventory!$A:$A,0)),"Unknown ID"))</f>
        <v/>
      </c>
      <c r="E89" s="9" t="str">
        <f>IF(B89="","",IFERROR(INDEX(Inventory!$G:$G,MATCH(B89,Inventory!$A:$A,0)),""))</f>
        <v/>
      </c>
      <c r="F89" s="9" t="str">
        <f t="shared" si="2"/>
        <v/>
      </c>
    </row>
    <row r="90" spans="3:6" x14ac:dyDescent="0.3">
      <c r="C90" s="6" t="str">
        <f>IF(B90="","",IFERROR(INDEX(Inventory!$B:$B,MATCH(B90,Inventory!$A:$A,0)),"Unknown ID"))</f>
        <v/>
      </c>
      <c r="E90" s="9" t="str">
        <f>IF(B90="","",IFERROR(INDEX(Inventory!$G:$G,MATCH(B90,Inventory!$A:$A,0)),""))</f>
        <v/>
      </c>
      <c r="F90" s="9" t="str">
        <f t="shared" si="2"/>
        <v/>
      </c>
    </row>
    <row r="91" spans="3:6" x14ac:dyDescent="0.3">
      <c r="C91" s="6" t="str">
        <f>IF(B91="","",IFERROR(INDEX(Inventory!$B:$B,MATCH(B91,Inventory!$A:$A,0)),"Unknown ID"))</f>
        <v/>
      </c>
      <c r="E91" s="9" t="str">
        <f>IF(B91="","",IFERROR(INDEX(Inventory!$G:$G,MATCH(B91,Inventory!$A:$A,0)),""))</f>
        <v/>
      </c>
      <c r="F91" s="9" t="str">
        <f t="shared" si="2"/>
        <v/>
      </c>
    </row>
    <row r="92" spans="3:6" x14ac:dyDescent="0.3">
      <c r="C92" s="6" t="str">
        <f>IF(B92="","",IFERROR(INDEX(Inventory!$B:$B,MATCH(B92,Inventory!$A:$A,0)),"Unknown ID"))</f>
        <v/>
      </c>
      <c r="E92" s="9" t="str">
        <f>IF(B92="","",IFERROR(INDEX(Inventory!$G:$G,MATCH(B92,Inventory!$A:$A,0)),""))</f>
        <v/>
      </c>
      <c r="F92" s="9" t="str">
        <f t="shared" si="2"/>
        <v/>
      </c>
    </row>
    <row r="93" spans="3:6" x14ac:dyDescent="0.3">
      <c r="C93" s="6" t="str">
        <f>IF(B93="","",IFERROR(INDEX(Inventory!$B:$B,MATCH(B93,Inventory!$A:$A,0)),"Unknown ID"))</f>
        <v/>
      </c>
      <c r="E93" s="9" t="str">
        <f>IF(B93="","",IFERROR(INDEX(Inventory!$G:$G,MATCH(B93,Inventory!$A:$A,0)),""))</f>
        <v/>
      </c>
      <c r="F93" s="9" t="str">
        <f t="shared" si="2"/>
        <v/>
      </c>
    </row>
    <row r="94" spans="3:6" x14ac:dyDescent="0.3">
      <c r="C94" s="6" t="str">
        <f>IF(B94="","",IFERROR(INDEX(Inventory!$B:$B,MATCH(B94,Inventory!$A:$A,0)),"Unknown ID"))</f>
        <v/>
      </c>
      <c r="E94" s="9" t="str">
        <f>IF(B94="","",IFERROR(INDEX(Inventory!$G:$G,MATCH(B94,Inventory!$A:$A,0)),""))</f>
        <v/>
      </c>
      <c r="F94" s="9" t="str">
        <f t="shared" si="2"/>
        <v/>
      </c>
    </row>
    <row r="95" spans="3:6" x14ac:dyDescent="0.3">
      <c r="C95" s="6" t="str">
        <f>IF(B95="","",IFERROR(INDEX(Inventory!$B:$B,MATCH(B95,Inventory!$A:$A,0)),"Unknown ID"))</f>
        <v/>
      </c>
      <c r="E95" s="9" t="str">
        <f>IF(B95="","",IFERROR(INDEX(Inventory!$G:$G,MATCH(B95,Inventory!$A:$A,0)),""))</f>
        <v/>
      </c>
      <c r="F95" s="9" t="str">
        <f t="shared" si="2"/>
        <v/>
      </c>
    </row>
    <row r="96" spans="3:6" x14ac:dyDescent="0.3">
      <c r="C96" s="6" t="str">
        <f>IF(B96="","",IFERROR(INDEX(Inventory!$B:$B,MATCH(B96,Inventory!$A:$A,0)),"Unknown ID"))</f>
        <v/>
      </c>
      <c r="E96" s="9" t="str">
        <f>IF(B96="","",IFERROR(INDEX(Inventory!$G:$G,MATCH(B96,Inventory!$A:$A,0)),""))</f>
        <v/>
      </c>
      <c r="F96" s="9" t="str">
        <f t="shared" si="2"/>
        <v/>
      </c>
    </row>
    <row r="97" spans="3:6" x14ac:dyDescent="0.3">
      <c r="C97" s="6" t="str">
        <f>IF(B97="","",IFERROR(INDEX(Inventory!$B:$B,MATCH(B97,Inventory!$A:$A,0)),"Unknown ID"))</f>
        <v/>
      </c>
      <c r="E97" s="9" t="str">
        <f>IF(B97="","",IFERROR(INDEX(Inventory!$G:$G,MATCH(B97,Inventory!$A:$A,0)),""))</f>
        <v/>
      </c>
      <c r="F97" s="9" t="str">
        <f t="shared" si="2"/>
        <v/>
      </c>
    </row>
    <row r="98" spans="3:6" x14ac:dyDescent="0.3">
      <c r="C98" s="6" t="str">
        <f>IF(B98="","",IFERROR(INDEX(Inventory!$B:$B,MATCH(B98,Inventory!$A:$A,0)),"Unknown ID"))</f>
        <v/>
      </c>
      <c r="E98" s="9" t="str">
        <f>IF(B98="","",IFERROR(INDEX(Inventory!$G:$G,MATCH(B98,Inventory!$A:$A,0)),""))</f>
        <v/>
      </c>
      <c r="F98" s="9" t="str">
        <f t="shared" si="2"/>
        <v/>
      </c>
    </row>
    <row r="99" spans="3:6" x14ac:dyDescent="0.3">
      <c r="C99" s="6" t="str">
        <f>IF(B99="","",IFERROR(INDEX(Inventory!$B:$B,MATCH(B99,Inventory!$A:$A,0)),"Unknown ID"))</f>
        <v/>
      </c>
      <c r="E99" s="9" t="str">
        <f>IF(B99="","",IFERROR(INDEX(Inventory!$G:$G,MATCH(B99,Inventory!$A:$A,0)),""))</f>
        <v/>
      </c>
      <c r="F99" s="9" t="str">
        <f t="shared" si="2"/>
        <v/>
      </c>
    </row>
    <row r="100" spans="3:6" x14ac:dyDescent="0.3">
      <c r="C100" s="6" t="str">
        <f>IF(B100="","",IFERROR(INDEX(Inventory!$B:$B,MATCH(B100,Inventory!$A:$A,0)),"Unknown ID"))</f>
        <v/>
      </c>
      <c r="E100" s="9" t="str">
        <f>IF(B100="","",IFERROR(INDEX(Inventory!$G:$G,MATCH(B100,Inventory!$A:$A,0)),""))</f>
        <v/>
      </c>
      <c r="F100" s="9" t="str">
        <f t="shared" si="2"/>
        <v/>
      </c>
    </row>
    <row r="101" spans="3:6" x14ac:dyDescent="0.3">
      <c r="C101" s="6" t="str">
        <f>IF(B101="","",IFERROR(INDEX(Inventory!$B:$B,MATCH(B101,Inventory!$A:$A,0)),"Unknown ID"))</f>
        <v/>
      </c>
      <c r="E101" s="9" t="str">
        <f>IF(B101="","",IFERROR(INDEX(Inventory!$G:$G,MATCH(B101,Inventory!$A:$A,0)),""))</f>
        <v/>
      </c>
      <c r="F101" s="9" t="str">
        <f t="shared" si="2"/>
        <v/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Inventory!$A$2:$A$51</xm:f>
          </x14:formula1>
          <x14:formula2>
            <xm:f>0</xm:f>
          </x14:formula2>
          <xm:sqref>B2:B101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1"/>
  <sheetViews>
    <sheetView showGridLines="0" tabSelected="1" zoomScaleNormal="100" workbookViewId="0">
      <pane ySplit="1" topLeftCell="A2" activePane="bottomLeft" state="frozen"/>
      <selection pane="bottomLeft" activeCell="C19" sqref="C19"/>
    </sheetView>
  </sheetViews>
  <sheetFormatPr defaultColWidth="8.6640625" defaultRowHeight="14.4" x14ac:dyDescent="0.3"/>
  <cols>
    <col min="1" max="1" width="13" customWidth="1"/>
    <col min="2" max="2" width="12" customWidth="1"/>
    <col min="3" max="3" width="26" customWidth="1"/>
    <col min="4" max="4" width="10" customWidth="1"/>
    <col min="5" max="5" width="14" customWidth="1"/>
    <col min="6" max="6" width="15" customWidth="1"/>
    <col min="7" max="7" width="20" customWidth="1"/>
    <col min="8" max="8" width="22" customWidth="1"/>
  </cols>
  <sheetData>
    <row r="1" spans="1:8" ht="27.75" customHeight="1" x14ac:dyDescent="0.3">
      <c r="A1" s="13" t="s">
        <v>56</v>
      </c>
      <c r="B1" s="13" t="s">
        <v>14</v>
      </c>
      <c r="C1" s="13" t="s">
        <v>15</v>
      </c>
      <c r="D1" s="13" t="s">
        <v>67</v>
      </c>
      <c r="E1" s="13" t="s">
        <v>21</v>
      </c>
      <c r="F1" s="13" t="s">
        <v>68</v>
      </c>
      <c r="G1" s="13" t="s">
        <v>69</v>
      </c>
      <c r="H1" s="13" t="s">
        <v>59</v>
      </c>
    </row>
    <row r="2" spans="1:8" x14ac:dyDescent="0.3">
      <c r="A2" s="19" t="s">
        <v>70</v>
      </c>
      <c r="B2" s="14" t="s">
        <v>28</v>
      </c>
      <c r="C2" s="11" t="str">
        <f>IFERROR(INDEX(Inventory!$B:$B,MATCH(B2,Inventory!$A:$A,0)),"")</f>
        <v>A4 Copy Paper (Ream)</v>
      </c>
      <c r="D2" s="14">
        <v>45</v>
      </c>
      <c r="E2" s="17">
        <f>IFERROR(INDEX(Inventory!$H:$H,MATCH(B2,Inventory!$A:$A,0)),"")</f>
        <v>6</v>
      </c>
      <c r="F2" s="17">
        <f>IFERROR(D2*E2,"")</f>
        <v>270</v>
      </c>
      <c r="G2" s="14" t="s">
        <v>71</v>
      </c>
      <c r="H2" s="14"/>
    </row>
    <row r="3" spans="1:8" x14ac:dyDescent="0.3">
      <c r="A3" s="19" t="s">
        <v>72</v>
      </c>
      <c r="B3" s="14" t="s">
        <v>35</v>
      </c>
      <c r="C3" s="11" t="str">
        <f>IFERROR(INDEX(Inventory!$B:$B,MATCH(B3,Inventory!$A:$A,0)),"")</f>
        <v>Wireless Mouse</v>
      </c>
      <c r="D3" s="14">
        <v>12</v>
      </c>
      <c r="E3" s="17">
        <f>IFERROR(INDEX(Inventory!$H:$H,MATCH(B3,Inventory!$A:$A,0)),"")</f>
        <v>15.99</v>
      </c>
      <c r="F3" s="17">
        <f>IFERROR(D3*E3,"")</f>
        <v>191.88</v>
      </c>
      <c r="G3" s="14" t="s">
        <v>73</v>
      </c>
      <c r="H3" s="14"/>
    </row>
    <row r="4" spans="1:8" x14ac:dyDescent="0.3">
      <c r="A4" s="19" t="s">
        <v>74</v>
      </c>
      <c r="B4" s="14" t="s">
        <v>48</v>
      </c>
      <c r="C4" s="11" t="str">
        <f>IFERROR(INDEX(Inventory!$B:$B,MATCH(B4,Inventory!$A:$A,0)),"")</f>
        <v>Cardboard Shipping Box (M)</v>
      </c>
      <c r="D4" s="14">
        <v>220</v>
      </c>
      <c r="E4" s="17">
        <f>IFERROR(INDEX(Inventory!$H:$H,MATCH(B4,Inventory!$A:$A,0)),"")</f>
        <v>1.2</v>
      </c>
      <c r="F4" s="17">
        <f>IFERROR(D4*E4,"")</f>
        <v>264</v>
      </c>
      <c r="G4" s="14" t="s">
        <v>75</v>
      </c>
      <c r="H4" s="14" t="s">
        <v>76</v>
      </c>
    </row>
    <row r="5" spans="1:8" x14ac:dyDescent="0.3">
      <c r="A5" s="19" t="s">
        <v>77</v>
      </c>
      <c r="B5" s="14" t="s">
        <v>32</v>
      </c>
      <c r="C5" s="11" t="str">
        <f>IFERROR(INDEX(Inventory!$B:$B,MATCH(B5,Inventory!$A:$A,0)),"")</f>
        <v>Ballpoint Pens (Box of 12)</v>
      </c>
      <c r="D5" s="14">
        <v>15</v>
      </c>
      <c r="E5" s="17">
        <f>IFERROR(INDEX(Inventory!$H:$H,MATCH(B5,Inventory!$A:$A,0)),"")</f>
        <v>4.5</v>
      </c>
      <c r="F5" s="17">
        <f>IFERROR(D5*E5,"")</f>
        <v>67.5</v>
      </c>
      <c r="G5" s="14" t="s">
        <v>78</v>
      </c>
      <c r="H5" s="14"/>
    </row>
    <row r="6" spans="1:8" x14ac:dyDescent="0.3">
      <c r="A6" s="19" t="s">
        <v>79</v>
      </c>
      <c r="B6" s="14" t="s">
        <v>54</v>
      </c>
      <c r="C6" s="11" t="str">
        <f>IFERROR(INDEX(Inventory!$B:$B,MATCH(B6,Inventory!$A:$A,0)),"")</f>
        <v>Standing Desk Mat</v>
      </c>
      <c r="D6" s="14">
        <v>9</v>
      </c>
      <c r="E6" s="17">
        <f>IFERROR(INDEX(Inventory!$H:$H,MATCH(B6,Inventory!$A:$A,0)),"")</f>
        <v>24.99</v>
      </c>
      <c r="F6" s="17">
        <f>IFERROR(D6*E6,"")</f>
        <v>224.91</v>
      </c>
      <c r="G6" s="14" t="s">
        <v>80</v>
      </c>
      <c r="H6" s="14" t="s">
        <v>81</v>
      </c>
    </row>
    <row r="7" spans="1:8" x14ac:dyDescent="0.3">
      <c r="C7" s="6" t="str">
        <f>IF(B7="","",IFERROR(INDEX(Inventory!$B:$B,MATCH(B7,Inventory!$A:$A,0)),"Unknown ID"))</f>
        <v/>
      </c>
      <c r="E7" s="9" t="str">
        <f>IF(B7="","",IFERROR(INDEX(Inventory!$H:$H,MATCH(B7,Inventory!$A:$A,0)),""))</f>
        <v/>
      </c>
      <c r="F7" s="9" t="str">
        <f t="shared" ref="F7:F38" si="0">IF(B7="","",IFERROR(D7*E7,""))</f>
        <v/>
      </c>
    </row>
    <row r="8" spans="1:8" x14ac:dyDescent="0.3">
      <c r="C8" s="6" t="str">
        <f>IF(B8="","",IFERROR(INDEX(Inventory!$B:$B,MATCH(B8,Inventory!$A:$A,0)),"Unknown ID"))</f>
        <v/>
      </c>
      <c r="E8" s="9" t="str">
        <f>IF(B8="","",IFERROR(INDEX(Inventory!$H:$H,MATCH(B8,Inventory!$A:$A,0)),""))</f>
        <v/>
      </c>
      <c r="F8" s="9" t="str">
        <f t="shared" si="0"/>
        <v/>
      </c>
    </row>
    <row r="9" spans="1:8" x14ac:dyDescent="0.3">
      <c r="C9" s="6" t="str">
        <f>IF(B9="","",IFERROR(INDEX(Inventory!$B:$B,MATCH(B9,Inventory!$A:$A,0)),"Unknown ID"))</f>
        <v/>
      </c>
      <c r="E9" s="9" t="str">
        <f>IF(B9="","",IFERROR(INDEX(Inventory!$H:$H,MATCH(B9,Inventory!$A:$A,0)),""))</f>
        <v/>
      </c>
      <c r="F9" s="9" t="str">
        <f t="shared" si="0"/>
        <v/>
      </c>
    </row>
    <row r="10" spans="1:8" x14ac:dyDescent="0.3">
      <c r="C10" s="6" t="str">
        <f>IF(B10="","",IFERROR(INDEX(Inventory!$B:$B,MATCH(B10,Inventory!$A:$A,0)),"Unknown ID"))</f>
        <v/>
      </c>
      <c r="E10" s="9" t="str">
        <f>IF(B10="","",IFERROR(INDEX(Inventory!$H:$H,MATCH(B10,Inventory!$A:$A,0)),""))</f>
        <v/>
      </c>
      <c r="F10" s="9" t="str">
        <f t="shared" si="0"/>
        <v/>
      </c>
    </row>
    <row r="11" spans="1:8" x14ac:dyDescent="0.3">
      <c r="C11" s="6" t="str">
        <f>IF(B11="","",IFERROR(INDEX(Inventory!$B:$B,MATCH(B11,Inventory!$A:$A,0)),"Unknown ID"))</f>
        <v/>
      </c>
      <c r="E11" s="9" t="str">
        <f>IF(B11="","",IFERROR(INDEX(Inventory!$H:$H,MATCH(B11,Inventory!$A:$A,0)),""))</f>
        <v/>
      </c>
      <c r="F11" s="9" t="str">
        <f t="shared" si="0"/>
        <v/>
      </c>
    </row>
    <row r="12" spans="1:8" x14ac:dyDescent="0.3">
      <c r="C12" s="6" t="str">
        <f>IF(B12="","",IFERROR(INDEX(Inventory!$B:$B,MATCH(B12,Inventory!$A:$A,0)),"Unknown ID"))</f>
        <v/>
      </c>
      <c r="E12" s="9" t="str">
        <f>IF(B12="","",IFERROR(INDEX(Inventory!$H:$H,MATCH(B12,Inventory!$A:$A,0)),""))</f>
        <v/>
      </c>
      <c r="F12" s="9" t="str">
        <f t="shared" si="0"/>
        <v/>
      </c>
    </row>
    <row r="13" spans="1:8" x14ac:dyDescent="0.3">
      <c r="C13" s="6" t="str">
        <f>IF(B13="","",IFERROR(INDEX(Inventory!$B:$B,MATCH(B13,Inventory!$A:$A,0)),"Unknown ID"))</f>
        <v/>
      </c>
      <c r="E13" s="9" t="str">
        <f>IF(B13="","",IFERROR(INDEX(Inventory!$H:$H,MATCH(B13,Inventory!$A:$A,0)),""))</f>
        <v/>
      </c>
      <c r="F13" s="9" t="str">
        <f t="shared" si="0"/>
        <v/>
      </c>
    </row>
    <row r="14" spans="1:8" x14ac:dyDescent="0.3">
      <c r="C14" s="6" t="str">
        <f>IF(B14="","",IFERROR(INDEX(Inventory!$B:$B,MATCH(B14,Inventory!$A:$A,0)),"Unknown ID"))</f>
        <v/>
      </c>
      <c r="E14" s="9" t="str">
        <f>IF(B14="","",IFERROR(INDEX(Inventory!$H:$H,MATCH(B14,Inventory!$A:$A,0)),""))</f>
        <v/>
      </c>
      <c r="F14" s="9" t="str">
        <f t="shared" si="0"/>
        <v/>
      </c>
    </row>
    <row r="15" spans="1:8" x14ac:dyDescent="0.3">
      <c r="C15" s="6" t="str">
        <f>IF(B15="","",IFERROR(INDEX(Inventory!$B:$B,MATCH(B15,Inventory!$A:$A,0)),"Unknown ID"))</f>
        <v/>
      </c>
      <c r="E15" s="9" t="str">
        <f>IF(B15="","",IFERROR(INDEX(Inventory!$H:$H,MATCH(B15,Inventory!$A:$A,0)),""))</f>
        <v/>
      </c>
      <c r="F15" s="9" t="str">
        <f t="shared" si="0"/>
        <v/>
      </c>
    </row>
    <row r="16" spans="1:8" x14ac:dyDescent="0.3">
      <c r="C16" s="6" t="str">
        <f>IF(B16="","",IFERROR(INDEX(Inventory!$B:$B,MATCH(B16,Inventory!$A:$A,0)),"Unknown ID"))</f>
        <v/>
      </c>
      <c r="E16" s="9" t="str">
        <f>IF(B16="","",IFERROR(INDEX(Inventory!$H:$H,MATCH(B16,Inventory!$A:$A,0)),""))</f>
        <v/>
      </c>
      <c r="F16" s="9" t="str">
        <f t="shared" si="0"/>
        <v/>
      </c>
    </row>
    <row r="17" spans="3:6" x14ac:dyDescent="0.3">
      <c r="C17" s="6" t="str">
        <f>IF(B17="","",IFERROR(INDEX(Inventory!$B:$B,MATCH(B17,Inventory!$A:$A,0)),"Unknown ID"))</f>
        <v/>
      </c>
      <c r="E17" s="9" t="str">
        <f>IF(B17="","",IFERROR(INDEX(Inventory!$H:$H,MATCH(B17,Inventory!$A:$A,0)),""))</f>
        <v/>
      </c>
      <c r="F17" s="9" t="str">
        <f t="shared" si="0"/>
        <v/>
      </c>
    </row>
    <row r="18" spans="3:6" x14ac:dyDescent="0.3">
      <c r="C18" s="6" t="str">
        <f>IF(B18="","",IFERROR(INDEX(Inventory!$B:$B,MATCH(B18,Inventory!$A:$A,0)),"Unknown ID"))</f>
        <v/>
      </c>
      <c r="E18" s="9" t="str">
        <f>IF(B18="","",IFERROR(INDEX(Inventory!$H:$H,MATCH(B18,Inventory!$A:$A,0)),""))</f>
        <v/>
      </c>
      <c r="F18" s="9" t="str">
        <f t="shared" si="0"/>
        <v/>
      </c>
    </row>
    <row r="19" spans="3:6" x14ac:dyDescent="0.3">
      <c r="C19" s="6" t="str">
        <f>IF(B19="","",IFERROR(INDEX(Inventory!$B:$B,MATCH(B19,Inventory!$A:$A,0)),"Unknown ID"))</f>
        <v/>
      </c>
      <c r="E19" s="9" t="str">
        <f>IF(B19="","",IFERROR(INDEX(Inventory!$H:$H,MATCH(B19,Inventory!$A:$A,0)),""))</f>
        <v/>
      </c>
      <c r="F19" s="9" t="str">
        <f t="shared" si="0"/>
        <v/>
      </c>
    </row>
    <row r="20" spans="3:6" x14ac:dyDescent="0.3">
      <c r="C20" s="6" t="str">
        <f>IF(B20="","",IFERROR(INDEX(Inventory!$B:$B,MATCH(B20,Inventory!$A:$A,0)),"Unknown ID"))</f>
        <v/>
      </c>
      <c r="E20" s="9" t="str">
        <f>IF(B20="","",IFERROR(INDEX(Inventory!$H:$H,MATCH(B20,Inventory!$A:$A,0)),""))</f>
        <v/>
      </c>
      <c r="F20" s="9" t="str">
        <f t="shared" si="0"/>
        <v/>
      </c>
    </row>
    <row r="21" spans="3:6" x14ac:dyDescent="0.3">
      <c r="C21" s="6" t="str">
        <f>IF(B21="","",IFERROR(INDEX(Inventory!$B:$B,MATCH(B21,Inventory!$A:$A,0)),"Unknown ID"))</f>
        <v/>
      </c>
      <c r="E21" s="9" t="str">
        <f>IF(B21="","",IFERROR(INDEX(Inventory!$H:$H,MATCH(B21,Inventory!$A:$A,0)),""))</f>
        <v/>
      </c>
      <c r="F21" s="9" t="str">
        <f t="shared" si="0"/>
        <v/>
      </c>
    </row>
    <row r="22" spans="3:6" x14ac:dyDescent="0.3">
      <c r="C22" s="6" t="str">
        <f>IF(B22="","",IFERROR(INDEX(Inventory!$B:$B,MATCH(B22,Inventory!$A:$A,0)),"Unknown ID"))</f>
        <v/>
      </c>
      <c r="E22" s="9" t="str">
        <f>IF(B22="","",IFERROR(INDEX(Inventory!$H:$H,MATCH(B22,Inventory!$A:$A,0)),""))</f>
        <v/>
      </c>
      <c r="F22" s="9" t="str">
        <f t="shared" si="0"/>
        <v/>
      </c>
    </row>
    <row r="23" spans="3:6" x14ac:dyDescent="0.3">
      <c r="C23" s="6" t="str">
        <f>IF(B23="","",IFERROR(INDEX(Inventory!$B:$B,MATCH(B23,Inventory!$A:$A,0)),"Unknown ID"))</f>
        <v/>
      </c>
      <c r="E23" s="9" t="str">
        <f>IF(B23="","",IFERROR(INDEX(Inventory!$H:$H,MATCH(B23,Inventory!$A:$A,0)),""))</f>
        <v/>
      </c>
      <c r="F23" s="9" t="str">
        <f t="shared" si="0"/>
        <v/>
      </c>
    </row>
    <row r="24" spans="3:6" x14ac:dyDescent="0.3">
      <c r="C24" s="6" t="str">
        <f>IF(B24="","",IFERROR(INDEX(Inventory!$B:$B,MATCH(B24,Inventory!$A:$A,0)),"Unknown ID"))</f>
        <v/>
      </c>
      <c r="E24" s="9" t="str">
        <f>IF(B24="","",IFERROR(INDEX(Inventory!$H:$H,MATCH(B24,Inventory!$A:$A,0)),""))</f>
        <v/>
      </c>
      <c r="F24" s="9" t="str">
        <f t="shared" si="0"/>
        <v/>
      </c>
    </row>
    <row r="25" spans="3:6" x14ac:dyDescent="0.3">
      <c r="C25" s="6" t="str">
        <f>IF(B25="","",IFERROR(INDEX(Inventory!$B:$B,MATCH(B25,Inventory!$A:$A,0)),"Unknown ID"))</f>
        <v/>
      </c>
      <c r="E25" s="9" t="str">
        <f>IF(B25="","",IFERROR(INDEX(Inventory!$H:$H,MATCH(B25,Inventory!$A:$A,0)),""))</f>
        <v/>
      </c>
      <c r="F25" s="9" t="str">
        <f t="shared" si="0"/>
        <v/>
      </c>
    </row>
    <row r="26" spans="3:6" x14ac:dyDescent="0.3">
      <c r="C26" s="6" t="str">
        <f>IF(B26="","",IFERROR(INDEX(Inventory!$B:$B,MATCH(B26,Inventory!$A:$A,0)),"Unknown ID"))</f>
        <v/>
      </c>
      <c r="E26" s="9" t="str">
        <f>IF(B26="","",IFERROR(INDEX(Inventory!$H:$H,MATCH(B26,Inventory!$A:$A,0)),""))</f>
        <v/>
      </c>
      <c r="F26" s="9" t="str">
        <f t="shared" si="0"/>
        <v/>
      </c>
    </row>
    <row r="27" spans="3:6" x14ac:dyDescent="0.3">
      <c r="C27" s="6" t="str">
        <f>IF(B27="","",IFERROR(INDEX(Inventory!$B:$B,MATCH(B27,Inventory!$A:$A,0)),"Unknown ID"))</f>
        <v/>
      </c>
      <c r="E27" s="9" t="str">
        <f>IF(B27="","",IFERROR(INDEX(Inventory!$H:$H,MATCH(B27,Inventory!$A:$A,0)),""))</f>
        <v/>
      </c>
      <c r="F27" s="9" t="str">
        <f t="shared" si="0"/>
        <v/>
      </c>
    </row>
    <row r="28" spans="3:6" x14ac:dyDescent="0.3">
      <c r="C28" s="6" t="str">
        <f>IF(B28="","",IFERROR(INDEX(Inventory!$B:$B,MATCH(B28,Inventory!$A:$A,0)),"Unknown ID"))</f>
        <v/>
      </c>
      <c r="E28" s="9" t="str">
        <f>IF(B28="","",IFERROR(INDEX(Inventory!$H:$H,MATCH(B28,Inventory!$A:$A,0)),""))</f>
        <v/>
      </c>
      <c r="F28" s="9" t="str">
        <f t="shared" si="0"/>
        <v/>
      </c>
    </row>
    <row r="29" spans="3:6" x14ac:dyDescent="0.3">
      <c r="C29" s="6" t="str">
        <f>IF(B29="","",IFERROR(INDEX(Inventory!$B:$B,MATCH(B29,Inventory!$A:$A,0)),"Unknown ID"))</f>
        <v/>
      </c>
      <c r="E29" s="9" t="str">
        <f>IF(B29="","",IFERROR(INDEX(Inventory!$H:$H,MATCH(B29,Inventory!$A:$A,0)),""))</f>
        <v/>
      </c>
      <c r="F29" s="9" t="str">
        <f t="shared" si="0"/>
        <v/>
      </c>
    </row>
    <row r="30" spans="3:6" x14ac:dyDescent="0.3">
      <c r="C30" s="6" t="str">
        <f>IF(B30="","",IFERROR(INDEX(Inventory!$B:$B,MATCH(B30,Inventory!$A:$A,0)),"Unknown ID"))</f>
        <v/>
      </c>
      <c r="E30" s="9" t="str">
        <f>IF(B30="","",IFERROR(INDEX(Inventory!$H:$H,MATCH(B30,Inventory!$A:$A,0)),""))</f>
        <v/>
      </c>
      <c r="F30" s="9" t="str">
        <f t="shared" si="0"/>
        <v/>
      </c>
    </row>
    <row r="31" spans="3:6" x14ac:dyDescent="0.3">
      <c r="C31" s="6" t="str">
        <f>IF(B31="","",IFERROR(INDEX(Inventory!$B:$B,MATCH(B31,Inventory!$A:$A,0)),"Unknown ID"))</f>
        <v/>
      </c>
      <c r="E31" s="9" t="str">
        <f>IF(B31="","",IFERROR(INDEX(Inventory!$H:$H,MATCH(B31,Inventory!$A:$A,0)),""))</f>
        <v/>
      </c>
      <c r="F31" s="9" t="str">
        <f t="shared" si="0"/>
        <v/>
      </c>
    </row>
    <row r="32" spans="3:6" x14ac:dyDescent="0.3">
      <c r="C32" s="6" t="str">
        <f>IF(B32="","",IFERROR(INDEX(Inventory!$B:$B,MATCH(B32,Inventory!$A:$A,0)),"Unknown ID"))</f>
        <v/>
      </c>
      <c r="E32" s="9" t="str">
        <f>IF(B32="","",IFERROR(INDEX(Inventory!$H:$H,MATCH(B32,Inventory!$A:$A,0)),""))</f>
        <v/>
      </c>
      <c r="F32" s="9" t="str">
        <f t="shared" si="0"/>
        <v/>
      </c>
    </row>
    <row r="33" spans="3:6" x14ac:dyDescent="0.3">
      <c r="C33" s="6" t="str">
        <f>IF(B33="","",IFERROR(INDEX(Inventory!$B:$B,MATCH(B33,Inventory!$A:$A,0)),"Unknown ID"))</f>
        <v/>
      </c>
      <c r="E33" s="9" t="str">
        <f>IF(B33="","",IFERROR(INDEX(Inventory!$H:$H,MATCH(B33,Inventory!$A:$A,0)),""))</f>
        <v/>
      </c>
      <c r="F33" s="9" t="str">
        <f t="shared" si="0"/>
        <v/>
      </c>
    </row>
    <row r="34" spans="3:6" x14ac:dyDescent="0.3">
      <c r="C34" s="6" t="str">
        <f>IF(B34="","",IFERROR(INDEX(Inventory!$B:$B,MATCH(B34,Inventory!$A:$A,0)),"Unknown ID"))</f>
        <v/>
      </c>
      <c r="E34" s="9" t="str">
        <f>IF(B34="","",IFERROR(INDEX(Inventory!$H:$H,MATCH(B34,Inventory!$A:$A,0)),""))</f>
        <v/>
      </c>
      <c r="F34" s="9" t="str">
        <f t="shared" si="0"/>
        <v/>
      </c>
    </row>
    <row r="35" spans="3:6" x14ac:dyDescent="0.3">
      <c r="C35" s="6" t="str">
        <f>IF(B35="","",IFERROR(INDEX(Inventory!$B:$B,MATCH(B35,Inventory!$A:$A,0)),"Unknown ID"))</f>
        <v/>
      </c>
      <c r="E35" s="9" t="str">
        <f>IF(B35="","",IFERROR(INDEX(Inventory!$H:$H,MATCH(B35,Inventory!$A:$A,0)),""))</f>
        <v/>
      </c>
      <c r="F35" s="9" t="str">
        <f t="shared" si="0"/>
        <v/>
      </c>
    </row>
    <row r="36" spans="3:6" x14ac:dyDescent="0.3">
      <c r="C36" s="6" t="str">
        <f>IF(B36="","",IFERROR(INDEX(Inventory!$B:$B,MATCH(B36,Inventory!$A:$A,0)),"Unknown ID"))</f>
        <v/>
      </c>
      <c r="E36" s="9" t="str">
        <f>IF(B36="","",IFERROR(INDEX(Inventory!$H:$H,MATCH(B36,Inventory!$A:$A,0)),""))</f>
        <v/>
      </c>
      <c r="F36" s="9" t="str">
        <f t="shared" si="0"/>
        <v/>
      </c>
    </row>
    <row r="37" spans="3:6" x14ac:dyDescent="0.3">
      <c r="C37" s="6" t="str">
        <f>IF(B37="","",IFERROR(INDEX(Inventory!$B:$B,MATCH(B37,Inventory!$A:$A,0)),"Unknown ID"))</f>
        <v/>
      </c>
      <c r="E37" s="9" t="str">
        <f>IF(B37="","",IFERROR(INDEX(Inventory!$H:$H,MATCH(B37,Inventory!$A:$A,0)),""))</f>
        <v/>
      </c>
      <c r="F37" s="9" t="str">
        <f t="shared" si="0"/>
        <v/>
      </c>
    </row>
    <row r="38" spans="3:6" x14ac:dyDescent="0.3">
      <c r="C38" s="6" t="str">
        <f>IF(B38="","",IFERROR(INDEX(Inventory!$B:$B,MATCH(B38,Inventory!$A:$A,0)),"Unknown ID"))</f>
        <v/>
      </c>
      <c r="E38" s="9" t="str">
        <f>IF(B38="","",IFERROR(INDEX(Inventory!$H:$H,MATCH(B38,Inventory!$A:$A,0)),""))</f>
        <v/>
      </c>
      <c r="F38" s="9" t="str">
        <f t="shared" si="0"/>
        <v/>
      </c>
    </row>
    <row r="39" spans="3:6" x14ac:dyDescent="0.3">
      <c r="C39" s="6" t="str">
        <f>IF(B39="","",IFERROR(INDEX(Inventory!$B:$B,MATCH(B39,Inventory!$A:$A,0)),"Unknown ID"))</f>
        <v/>
      </c>
      <c r="E39" s="9" t="str">
        <f>IF(B39="","",IFERROR(INDEX(Inventory!$H:$H,MATCH(B39,Inventory!$A:$A,0)),""))</f>
        <v/>
      </c>
      <c r="F39" s="9" t="str">
        <f t="shared" ref="F39:F70" si="1">IF(B39="","",IFERROR(D39*E39,""))</f>
        <v/>
      </c>
    </row>
    <row r="40" spans="3:6" x14ac:dyDescent="0.3">
      <c r="C40" s="6" t="str">
        <f>IF(B40="","",IFERROR(INDEX(Inventory!$B:$B,MATCH(B40,Inventory!$A:$A,0)),"Unknown ID"))</f>
        <v/>
      </c>
      <c r="E40" s="9" t="str">
        <f>IF(B40="","",IFERROR(INDEX(Inventory!$H:$H,MATCH(B40,Inventory!$A:$A,0)),""))</f>
        <v/>
      </c>
      <c r="F40" s="9" t="str">
        <f t="shared" si="1"/>
        <v/>
      </c>
    </row>
    <row r="41" spans="3:6" x14ac:dyDescent="0.3">
      <c r="C41" s="6" t="str">
        <f>IF(B41="","",IFERROR(INDEX(Inventory!$B:$B,MATCH(B41,Inventory!$A:$A,0)),"Unknown ID"))</f>
        <v/>
      </c>
      <c r="E41" s="9" t="str">
        <f>IF(B41="","",IFERROR(INDEX(Inventory!$H:$H,MATCH(B41,Inventory!$A:$A,0)),""))</f>
        <v/>
      </c>
      <c r="F41" s="9" t="str">
        <f t="shared" si="1"/>
        <v/>
      </c>
    </row>
    <row r="42" spans="3:6" x14ac:dyDescent="0.3">
      <c r="C42" s="6" t="str">
        <f>IF(B42="","",IFERROR(INDEX(Inventory!$B:$B,MATCH(B42,Inventory!$A:$A,0)),"Unknown ID"))</f>
        <v/>
      </c>
      <c r="E42" s="9" t="str">
        <f>IF(B42="","",IFERROR(INDEX(Inventory!$H:$H,MATCH(B42,Inventory!$A:$A,0)),""))</f>
        <v/>
      </c>
      <c r="F42" s="9" t="str">
        <f t="shared" si="1"/>
        <v/>
      </c>
    </row>
    <row r="43" spans="3:6" x14ac:dyDescent="0.3">
      <c r="C43" s="6" t="str">
        <f>IF(B43="","",IFERROR(INDEX(Inventory!$B:$B,MATCH(B43,Inventory!$A:$A,0)),"Unknown ID"))</f>
        <v/>
      </c>
      <c r="E43" s="9" t="str">
        <f>IF(B43="","",IFERROR(INDEX(Inventory!$H:$H,MATCH(B43,Inventory!$A:$A,0)),""))</f>
        <v/>
      </c>
      <c r="F43" s="9" t="str">
        <f t="shared" si="1"/>
        <v/>
      </c>
    </row>
    <row r="44" spans="3:6" x14ac:dyDescent="0.3">
      <c r="C44" s="6" t="str">
        <f>IF(B44="","",IFERROR(INDEX(Inventory!$B:$B,MATCH(B44,Inventory!$A:$A,0)),"Unknown ID"))</f>
        <v/>
      </c>
      <c r="E44" s="9" t="str">
        <f>IF(B44="","",IFERROR(INDEX(Inventory!$H:$H,MATCH(B44,Inventory!$A:$A,0)),""))</f>
        <v/>
      </c>
      <c r="F44" s="9" t="str">
        <f t="shared" si="1"/>
        <v/>
      </c>
    </row>
    <row r="45" spans="3:6" x14ac:dyDescent="0.3">
      <c r="C45" s="6" t="str">
        <f>IF(B45="","",IFERROR(INDEX(Inventory!$B:$B,MATCH(B45,Inventory!$A:$A,0)),"Unknown ID"))</f>
        <v/>
      </c>
      <c r="E45" s="9" t="str">
        <f>IF(B45="","",IFERROR(INDEX(Inventory!$H:$H,MATCH(B45,Inventory!$A:$A,0)),""))</f>
        <v/>
      </c>
      <c r="F45" s="9" t="str">
        <f t="shared" si="1"/>
        <v/>
      </c>
    </row>
    <row r="46" spans="3:6" x14ac:dyDescent="0.3">
      <c r="C46" s="6" t="str">
        <f>IF(B46="","",IFERROR(INDEX(Inventory!$B:$B,MATCH(B46,Inventory!$A:$A,0)),"Unknown ID"))</f>
        <v/>
      </c>
      <c r="E46" s="9" t="str">
        <f>IF(B46="","",IFERROR(INDEX(Inventory!$H:$H,MATCH(B46,Inventory!$A:$A,0)),""))</f>
        <v/>
      </c>
      <c r="F46" s="9" t="str">
        <f t="shared" si="1"/>
        <v/>
      </c>
    </row>
    <row r="47" spans="3:6" x14ac:dyDescent="0.3">
      <c r="C47" s="6" t="str">
        <f>IF(B47="","",IFERROR(INDEX(Inventory!$B:$B,MATCH(B47,Inventory!$A:$A,0)),"Unknown ID"))</f>
        <v/>
      </c>
      <c r="E47" s="9" t="str">
        <f>IF(B47="","",IFERROR(INDEX(Inventory!$H:$H,MATCH(B47,Inventory!$A:$A,0)),""))</f>
        <v/>
      </c>
      <c r="F47" s="9" t="str">
        <f t="shared" si="1"/>
        <v/>
      </c>
    </row>
    <row r="48" spans="3:6" x14ac:dyDescent="0.3">
      <c r="C48" s="6" t="str">
        <f>IF(B48="","",IFERROR(INDEX(Inventory!$B:$B,MATCH(B48,Inventory!$A:$A,0)),"Unknown ID"))</f>
        <v/>
      </c>
      <c r="E48" s="9" t="str">
        <f>IF(B48="","",IFERROR(INDEX(Inventory!$H:$H,MATCH(B48,Inventory!$A:$A,0)),""))</f>
        <v/>
      </c>
      <c r="F48" s="9" t="str">
        <f t="shared" si="1"/>
        <v/>
      </c>
    </row>
    <row r="49" spans="3:6" x14ac:dyDescent="0.3">
      <c r="C49" s="6" t="str">
        <f>IF(B49="","",IFERROR(INDEX(Inventory!$B:$B,MATCH(B49,Inventory!$A:$A,0)),"Unknown ID"))</f>
        <v/>
      </c>
      <c r="E49" s="9" t="str">
        <f>IF(B49="","",IFERROR(INDEX(Inventory!$H:$H,MATCH(B49,Inventory!$A:$A,0)),""))</f>
        <v/>
      </c>
      <c r="F49" s="9" t="str">
        <f t="shared" si="1"/>
        <v/>
      </c>
    </row>
    <row r="50" spans="3:6" x14ac:dyDescent="0.3">
      <c r="C50" s="6" t="str">
        <f>IF(B50="","",IFERROR(INDEX(Inventory!$B:$B,MATCH(B50,Inventory!$A:$A,0)),"Unknown ID"))</f>
        <v/>
      </c>
      <c r="E50" s="9" t="str">
        <f>IF(B50="","",IFERROR(INDEX(Inventory!$H:$H,MATCH(B50,Inventory!$A:$A,0)),""))</f>
        <v/>
      </c>
      <c r="F50" s="9" t="str">
        <f t="shared" si="1"/>
        <v/>
      </c>
    </row>
    <row r="51" spans="3:6" x14ac:dyDescent="0.3">
      <c r="C51" s="6" t="str">
        <f>IF(B51="","",IFERROR(INDEX(Inventory!$B:$B,MATCH(B51,Inventory!$A:$A,0)),"Unknown ID"))</f>
        <v/>
      </c>
      <c r="E51" s="9" t="str">
        <f>IF(B51="","",IFERROR(INDEX(Inventory!$H:$H,MATCH(B51,Inventory!$A:$A,0)),""))</f>
        <v/>
      </c>
      <c r="F51" s="9" t="str">
        <f t="shared" si="1"/>
        <v/>
      </c>
    </row>
    <row r="52" spans="3:6" x14ac:dyDescent="0.3">
      <c r="C52" s="6" t="str">
        <f>IF(B52="","",IFERROR(INDEX(Inventory!$B:$B,MATCH(B52,Inventory!$A:$A,0)),"Unknown ID"))</f>
        <v/>
      </c>
      <c r="E52" s="9" t="str">
        <f>IF(B52="","",IFERROR(INDEX(Inventory!$H:$H,MATCH(B52,Inventory!$A:$A,0)),""))</f>
        <v/>
      </c>
      <c r="F52" s="9" t="str">
        <f t="shared" si="1"/>
        <v/>
      </c>
    </row>
    <row r="53" spans="3:6" x14ac:dyDescent="0.3">
      <c r="C53" s="6" t="str">
        <f>IF(B53="","",IFERROR(INDEX(Inventory!$B:$B,MATCH(B53,Inventory!$A:$A,0)),"Unknown ID"))</f>
        <v/>
      </c>
      <c r="E53" s="9" t="str">
        <f>IF(B53="","",IFERROR(INDEX(Inventory!$H:$H,MATCH(B53,Inventory!$A:$A,0)),""))</f>
        <v/>
      </c>
      <c r="F53" s="9" t="str">
        <f t="shared" si="1"/>
        <v/>
      </c>
    </row>
    <row r="54" spans="3:6" x14ac:dyDescent="0.3">
      <c r="C54" s="6" t="str">
        <f>IF(B54="","",IFERROR(INDEX(Inventory!$B:$B,MATCH(B54,Inventory!$A:$A,0)),"Unknown ID"))</f>
        <v/>
      </c>
      <c r="E54" s="9" t="str">
        <f>IF(B54="","",IFERROR(INDEX(Inventory!$H:$H,MATCH(B54,Inventory!$A:$A,0)),""))</f>
        <v/>
      </c>
      <c r="F54" s="9" t="str">
        <f t="shared" si="1"/>
        <v/>
      </c>
    </row>
    <row r="55" spans="3:6" x14ac:dyDescent="0.3">
      <c r="C55" s="6" t="str">
        <f>IF(B55="","",IFERROR(INDEX(Inventory!$B:$B,MATCH(B55,Inventory!$A:$A,0)),"Unknown ID"))</f>
        <v/>
      </c>
      <c r="E55" s="9" t="str">
        <f>IF(B55="","",IFERROR(INDEX(Inventory!$H:$H,MATCH(B55,Inventory!$A:$A,0)),""))</f>
        <v/>
      </c>
      <c r="F55" s="9" t="str">
        <f t="shared" si="1"/>
        <v/>
      </c>
    </row>
    <row r="56" spans="3:6" x14ac:dyDescent="0.3">
      <c r="C56" s="6" t="str">
        <f>IF(B56="","",IFERROR(INDEX(Inventory!$B:$B,MATCH(B56,Inventory!$A:$A,0)),"Unknown ID"))</f>
        <v/>
      </c>
      <c r="E56" s="9" t="str">
        <f>IF(B56="","",IFERROR(INDEX(Inventory!$H:$H,MATCH(B56,Inventory!$A:$A,0)),""))</f>
        <v/>
      </c>
      <c r="F56" s="9" t="str">
        <f t="shared" si="1"/>
        <v/>
      </c>
    </row>
    <row r="57" spans="3:6" x14ac:dyDescent="0.3">
      <c r="C57" s="6" t="str">
        <f>IF(B57="","",IFERROR(INDEX(Inventory!$B:$B,MATCH(B57,Inventory!$A:$A,0)),"Unknown ID"))</f>
        <v/>
      </c>
      <c r="E57" s="9" t="str">
        <f>IF(B57="","",IFERROR(INDEX(Inventory!$H:$H,MATCH(B57,Inventory!$A:$A,0)),""))</f>
        <v/>
      </c>
      <c r="F57" s="9" t="str">
        <f t="shared" si="1"/>
        <v/>
      </c>
    </row>
    <row r="58" spans="3:6" x14ac:dyDescent="0.3">
      <c r="C58" s="6" t="str">
        <f>IF(B58="","",IFERROR(INDEX(Inventory!$B:$B,MATCH(B58,Inventory!$A:$A,0)),"Unknown ID"))</f>
        <v/>
      </c>
      <c r="E58" s="9" t="str">
        <f>IF(B58="","",IFERROR(INDEX(Inventory!$H:$H,MATCH(B58,Inventory!$A:$A,0)),""))</f>
        <v/>
      </c>
      <c r="F58" s="9" t="str">
        <f t="shared" si="1"/>
        <v/>
      </c>
    </row>
    <row r="59" spans="3:6" x14ac:dyDescent="0.3">
      <c r="C59" s="6" t="str">
        <f>IF(B59="","",IFERROR(INDEX(Inventory!$B:$B,MATCH(B59,Inventory!$A:$A,0)),"Unknown ID"))</f>
        <v/>
      </c>
      <c r="E59" s="9" t="str">
        <f>IF(B59="","",IFERROR(INDEX(Inventory!$H:$H,MATCH(B59,Inventory!$A:$A,0)),""))</f>
        <v/>
      </c>
      <c r="F59" s="9" t="str">
        <f t="shared" si="1"/>
        <v/>
      </c>
    </row>
    <row r="60" spans="3:6" x14ac:dyDescent="0.3">
      <c r="C60" s="6" t="str">
        <f>IF(B60="","",IFERROR(INDEX(Inventory!$B:$B,MATCH(B60,Inventory!$A:$A,0)),"Unknown ID"))</f>
        <v/>
      </c>
      <c r="E60" s="9" t="str">
        <f>IF(B60="","",IFERROR(INDEX(Inventory!$H:$H,MATCH(B60,Inventory!$A:$A,0)),""))</f>
        <v/>
      </c>
      <c r="F60" s="9" t="str">
        <f t="shared" si="1"/>
        <v/>
      </c>
    </row>
    <row r="61" spans="3:6" x14ac:dyDescent="0.3">
      <c r="C61" s="6" t="str">
        <f>IF(B61="","",IFERROR(INDEX(Inventory!$B:$B,MATCH(B61,Inventory!$A:$A,0)),"Unknown ID"))</f>
        <v/>
      </c>
      <c r="E61" s="9" t="str">
        <f>IF(B61="","",IFERROR(INDEX(Inventory!$H:$H,MATCH(B61,Inventory!$A:$A,0)),""))</f>
        <v/>
      </c>
      <c r="F61" s="9" t="str">
        <f t="shared" si="1"/>
        <v/>
      </c>
    </row>
    <row r="62" spans="3:6" x14ac:dyDescent="0.3">
      <c r="C62" s="6" t="str">
        <f>IF(B62="","",IFERROR(INDEX(Inventory!$B:$B,MATCH(B62,Inventory!$A:$A,0)),"Unknown ID"))</f>
        <v/>
      </c>
      <c r="E62" s="9" t="str">
        <f>IF(B62="","",IFERROR(INDEX(Inventory!$H:$H,MATCH(B62,Inventory!$A:$A,0)),""))</f>
        <v/>
      </c>
      <c r="F62" s="9" t="str">
        <f t="shared" si="1"/>
        <v/>
      </c>
    </row>
    <row r="63" spans="3:6" x14ac:dyDescent="0.3">
      <c r="C63" s="6" t="str">
        <f>IF(B63="","",IFERROR(INDEX(Inventory!$B:$B,MATCH(B63,Inventory!$A:$A,0)),"Unknown ID"))</f>
        <v/>
      </c>
      <c r="E63" s="9" t="str">
        <f>IF(B63="","",IFERROR(INDEX(Inventory!$H:$H,MATCH(B63,Inventory!$A:$A,0)),""))</f>
        <v/>
      </c>
      <c r="F63" s="9" t="str">
        <f t="shared" si="1"/>
        <v/>
      </c>
    </row>
    <row r="64" spans="3:6" x14ac:dyDescent="0.3">
      <c r="C64" s="6" t="str">
        <f>IF(B64="","",IFERROR(INDEX(Inventory!$B:$B,MATCH(B64,Inventory!$A:$A,0)),"Unknown ID"))</f>
        <v/>
      </c>
      <c r="E64" s="9" t="str">
        <f>IF(B64="","",IFERROR(INDEX(Inventory!$H:$H,MATCH(B64,Inventory!$A:$A,0)),""))</f>
        <v/>
      </c>
      <c r="F64" s="9" t="str">
        <f t="shared" si="1"/>
        <v/>
      </c>
    </row>
    <row r="65" spans="3:6" x14ac:dyDescent="0.3">
      <c r="C65" s="6" t="str">
        <f>IF(B65="","",IFERROR(INDEX(Inventory!$B:$B,MATCH(B65,Inventory!$A:$A,0)),"Unknown ID"))</f>
        <v/>
      </c>
      <c r="E65" s="9" t="str">
        <f>IF(B65="","",IFERROR(INDEX(Inventory!$H:$H,MATCH(B65,Inventory!$A:$A,0)),""))</f>
        <v/>
      </c>
      <c r="F65" s="9" t="str">
        <f t="shared" si="1"/>
        <v/>
      </c>
    </row>
    <row r="66" spans="3:6" x14ac:dyDescent="0.3">
      <c r="C66" s="6" t="str">
        <f>IF(B66="","",IFERROR(INDEX(Inventory!$B:$B,MATCH(B66,Inventory!$A:$A,0)),"Unknown ID"))</f>
        <v/>
      </c>
      <c r="E66" s="9" t="str">
        <f>IF(B66="","",IFERROR(INDEX(Inventory!$H:$H,MATCH(B66,Inventory!$A:$A,0)),""))</f>
        <v/>
      </c>
      <c r="F66" s="9" t="str">
        <f t="shared" si="1"/>
        <v/>
      </c>
    </row>
    <row r="67" spans="3:6" x14ac:dyDescent="0.3">
      <c r="C67" s="6" t="str">
        <f>IF(B67="","",IFERROR(INDEX(Inventory!$B:$B,MATCH(B67,Inventory!$A:$A,0)),"Unknown ID"))</f>
        <v/>
      </c>
      <c r="E67" s="9" t="str">
        <f>IF(B67="","",IFERROR(INDEX(Inventory!$H:$H,MATCH(B67,Inventory!$A:$A,0)),""))</f>
        <v/>
      </c>
      <c r="F67" s="9" t="str">
        <f t="shared" si="1"/>
        <v/>
      </c>
    </row>
    <row r="68" spans="3:6" x14ac:dyDescent="0.3">
      <c r="C68" s="6" t="str">
        <f>IF(B68="","",IFERROR(INDEX(Inventory!$B:$B,MATCH(B68,Inventory!$A:$A,0)),"Unknown ID"))</f>
        <v/>
      </c>
      <c r="E68" s="9" t="str">
        <f>IF(B68="","",IFERROR(INDEX(Inventory!$H:$H,MATCH(B68,Inventory!$A:$A,0)),""))</f>
        <v/>
      </c>
      <c r="F68" s="9" t="str">
        <f t="shared" si="1"/>
        <v/>
      </c>
    </row>
    <row r="69" spans="3:6" x14ac:dyDescent="0.3">
      <c r="C69" s="6" t="str">
        <f>IF(B69="","",IFERROR(INDEX(Inventory!$B:$B,MATCH(B69,Inventory!$A:$A,0)),"Unknown ID"))</f>
        <v/>
      </c>
      <c r="E69" s="9" t="str">
        <f>IF(B69="","",IFERROR(INDEX(Inventory!$H:$H,MATCH(B69,Inventory!$A:$A,0)),""))</f>
        <v/>
      </c>
      <c r="F69" s="9" t="str">
        <f t="shared" si="1"/>
        <v/>
      </c>
    </row>
    <row r="70" spans="3:6" x14ac:dyDescent="0.3">
      <c r="C70" s="6" t="str">
        <f>IF(B70="","",IFERROR(INDEX(Inventory!$B:$B,MATCH(B70,Inventory!$A:$A,0)),"Unknown ID"))</f>
        <v/>
      </c>
      <c r="E70" s="9" t="str">
        <f>IF(B70="","",IFERROR(INDEX(Inventory!$H:$H,MATCH(B70,Inventory!$A:$A,0)),""))</f>
        <v/>
      </c>
      <c r="F70" s="9" t="str">
        <f t="shared" si="1"/>
        <v/>
      </c>
    </row>
    <row r="71" spans="3:6" x14ac:dyDescent="0.3">
      <c r="C71" s="6" t="str">
        <f>IF(B71="","",IFERROR(INDEX(Inventory!$B:$B,MATCH(B71,Inventory!$A:$A,0)),"Unknown ID"))</f>
        <v/>
      </c>
      <c r="E71" s="9" t="str">
        <f>IF(B71="","",IFERROR(INDEX(Inventory!$H:$H,MATCH(B71,Inventory!$A:$A,0)),""))</f>
        <v/>
      </c>
      <c r="F71" s="9" t="str">
        <f t="shared" ref="F71:F102" si="2">IF(B71="","",IFERROR(D71*E71,""))</f>
        <v/>
      </c>
    </row>
    <row r="72" spans="3:6" x14ac:dyDescent="0.3">
      <c r="C72" s="6" t="str">
        <f>IF(B72="","",IFERROR(INDEX(Inventory!$B:$B,MATCH(B72,Inventory!$A:$A,0)),"Unknown ID"))</f>
        <v/>
      </c>
      <c r="E72" s="9" t="str">
        <f>IF(B72="","",IFERROR(INDEX(Inventory!$H:$H,MATCH(B72,Inventory!$A:$A,0)),""))</f>
        <v/>
      </c>
      <c r="F72" s="9" t="str">
        <f t="shared" si="2"/>
        <v/>
      </c>
    </row>
    <row r="73" spans="3:6" x14ac:dyDescent="0.3">
      <c r="C73" s="6" t="str">
        <f>IF(B73="","",IFERROR(INDEX(Inventory!$B:$B,MATCH(B73,Inventory!$A:$A,0)),"Unknown ID"))</f>
        <v/>
      </c>
      <c r="E73" s="9" t="str">
        <f>IF(B73="","",IFERROR(INDEX(Inventory!$H:$H,MATCH(B73,Inventory!$A:$A,0)),""))</f>
        <v/>
      </c>
      <c r="F73" s="9" t="str">
        <f t="shared" si="2"/>
        <v/>
      </c>
    </row>
    <row r="74" spans="3:6" x14ac:dyDescent="0.3">
      <c r="C74" s="6" t="str">
        <f>IF(B74="","",IFERROR(INDEX(Inventory!$B:$B,MATCH(B74,Inventory!$A:$A,0)),"Unknown ID"))</f>
        <v/>
      </c>
      <c r="E74" s="9" t="str">
        <f>IF(B74="","",IFERROR(INDEX(Inventory!$H:$H,MATCH(B74,Inventory!$A:$A,0)),""))</f>
        <v/>
      </c>
      <c r="F74" s="9" t="str">
        <f t="shared" si="2"/>
        <v/>
      </c>
    </row>
    <row r="75" spans="3:6" x14ac:dyDescent="0.3">
      <c r="C75" s="6" t="str">
        <f>IF(B75="","",IFERROR(INDEX(Inventory!$B:$B,MATCH(B75,Inventory!$A:$A,0)),"Unknown ID"))</f>
        <v/>
      </c>
      <c r="E75" s="9" t="str">
        <f>IF(B75="","",IFERROR(INDEX(Inventory!$H:$H,MATCH(B75,Inventory!$A:$A,0)),""))</f>
        <v/>
      </c>
      <c r="F75" s="9" t="str">
        <f t="shared" si="2"/>
        <v/>
      </c>
    </row>
    <row r="76" spans="3:6" x14ac:dyDescent="0.3">
      <c r="C76" s="6" t="str">
        <f>IF(B76="","",IFERROR(INDEX(Inventory!$B:$B,MATCH(B76,Inventory!$A:$A,0)),"Unknown ID"))</f>
        <v/>
      </c>
      <c r="E76" s="9" t="str">
        <f>IF(B76="","",IFERROR(INDEX(Inventory!$H:$H,MATCH(B76,Inventory!$A:$A,0)),""))</f>
        <v/>
      </c>
      <c r="F76" s="9" t="str">
        <f t="shared" si="2"/>
        <v/>
      </c>
    </row>
    <row r="77" spans="3:6" x14ac:dyDescent="0.3">
      <c r="C77" s="6" t="str">
        <f>IF(B77="","",IFERROR(INDEX(Inventory!$B:$B,MATCH(B77,Inventory!$A:$A,0)),"Unknown ID"))</f>
        <v/>
      </c>
      <c r="E77" s="9" t="str">
        <f>IF(B77="","",IFERROR(INDEX(Inventory!$H:$H,MATCH(B77,Inventory!$A:$A,0)),""))</f>
        <v/>
      </c>
      <c r="F77" s="9" t="str">
        <f t="shared" si="2"/>
        <v/>
      </c>
    </row>
    <row r="78" spans="3:6" x14ac:dyDescent="0.3">
      <c r="C78" s="6" t="str">
        <f>IF(B78="","",IFERROR(INDEX(Inventory!$B:$B,MATCH(B78,Inventory!$A:$A,0)),"Unknown ID"))</f>
        <v/>
      </c>
      <c r="E78" s="9" t="str">
        <f>IF(B78="","",IFERROR(INDEX(Inventory!$H:$H,MATCH(B78,Inventory!$A:$A,0)),""))</f>
        <v/>
      </c>
      <c r="F78" s="9" t="str">
        <f t="shared" si="2"/>
        <v/>
      </c>
    </row>
    <row r="79" spans="3:6" x14ac:dyDescent="0.3">
      <c r="C79" s="6" t="str">
        <f>IF(B79="","",IFERROR(INDEX(Inventory!$B:$B,MATCH(B79,Inventory!$A:$A,0)),"Unknown ID"))</f>
        <v/>
      </c>
      <c r="E79" s="9" t="str">
        <f>IF(B79="","",IFERROR(INDEX(Inventory!$H:$H,MATCH(B79,Inventory!$A:$A,0)),""))</f>
        <v/>
      </c>
      <c r="F79" s="9" t="str">
        <f t="shared" si="2"/>
        <v/>
      </c>
    </row>
    <row r="80" spans="3:6" x14ac:dyDescent="0.3">
      <c r="C80" s="6" t="str">
        <f>IF(B80="","",IFERROR(INDEX(Inventory!$B:$B,MATCH(B80,Inventory!$A:$A,0)),"Unknown ID"))</f>
        <v/>
      </c>
      <c r="E80" s="9" t="str">
        <f>IF(B80="","",IFERROR(INDEX(Inventory!$H:$H,MATCH(B80,Inventory!$A:$A,0)),""))</f>
        <v/>
      </c>
      <c r="F80" s="9" t="str">
        <f t="shared" si="2"/>
        <v/>
      </c>
    </row>
    <row r="81" spans="3:6" x14ac:dyDescent="0.3">
      <c r="C81" s="6" t="str">
        <f>IF(B81="","",IFERROR(INDEX(Inventory!$B:$B,MATCH(B81,Inventory!$A:$A,0)),"Unknown ID"))</f>
        <v/>
      </c>
      <c r="E81" s="9" t="str">
        <f>IF(B81="","",IFERROR(INDEX(Inventory!$H:$H,MATCH(B81,Inventory!$A:$A,0)),""))</f>
        <v/>
      </c>
      <c r="F81" s="9" t="str">
        <f t="shared" si="2"/>
        <v/>
      </c>
    </row>
    <row r="82" spans="3:6" x14ac:dyDescent="0.3">
      <c r="C82" s="6" t="str">
        <f>IF(B82="","",IFERROR(INDEX(Inventory!$B:$B,MATCH(B82,Inventory!$A:$A,0)),"Unknown ID"))</f>
        <v/>
      </c>
      <c r="E82" s="9" t="str">
        <f>IF(B82="","",IFERROR(INDEX(Inventory!$H:$H,MATCH(B82,Inventory!$A:$A,0)),""))</f>
        <v/>
      </c>
      <c r="F82" s="9" t="str">
        <f t="shared" si="2"/>
        <v/>
      </c>
    </row>
    <row r="83" spans="3:6" x14ac:dyDescent="0.3">
      <c r="C83" s="6" t="str">
        <f>IF(B83="","",IFERROR(INDEX(Inventory!$B:$B,MATCH(B83,Inventory!$A:$A,0)),"Unknown ID"))</f>
        <v/>
      </c>
      <c r="E83" s="9" t="str">
        <f>IF(B83="","",IFERROR(INDEX(Inventory!$H:$H,MATCH(B83,Inventory!$A:$A,0)),""))</f>
        <v/>
      </c>
      <c r="F83" s="9" t="str">
        <f t="shared" si="2"/>
        <v/>
      </c>
    </row>
    <row r="84" spans="3:6" x14ac:dyDescent="0.3">
      <c r="C84" s="6" t="str">
        <f>IF(B84="","",IFERROR(INDEX(Inventory!$B:$B,MATCH(B84,Inventory!$A:$A,0)),"Unknown ID"))</f>
        <v/>
      </c>
      <c r="E84" s="9" t="str">
        <f>IF(B84="","",IFERROR(INDEX(Inventory!$H:$H,MATCH(B84,Inventory!$A:$A,0)),""))</f>
        <v/>
      </c>
      <c r="F84" s="9" t="str">
        <f t="shared" si="2"/>
        <v/>
      </c>
    </row>
    <row r="85" spans="3:6" x14ac:dyDescent="0.3">
      <c r="C85" s="6" t="str">
        <f>IF(B85="","",IFERROR(INDEX(Inventory!$B:$B,MATCH(B85,Inventory!$A:$A,0)),"Unknown ID"))</f>
        <v/>
      </c>
      <c r="E85" s="9" t="str">
        <f>IF(B85="","",IFERROR(INDEX(Inventory!$H:$H,MATCH(B85,Inventory!$A:$A,0)),""))</f>
        <v/>
      </c>
      <c r="F85" s="9" t="str">
        <f t="shared" si="2"/>
        <v/>
      </c>
    </row>
    <row r="86" spans="3:6" x14ac:dyDescent="0.3">
      <c r="C86" s="6" t="str">
        <f>IF(B86="","",IFERROR(INDEX(Inventory!$B:$B,MATCH(B86,Inventory!$A:$A,0)),"Unknown ID"))</f>
        <v/>
      </c>
      <c r="E86" s="9" t="str">
        <f>IF(B86="","",IFERROR(INDEX(Inventory!$H:$H,MATCH(B86,Inventory!$A:$A,0)),""))</f>
        <v/>
      </c>
      <c r="F86" s="9" t="str">
        <f t="shared" si="2"/>
        <v/>
      </c>
    </row>
    <row r="87" spans="3:6" x14ac:dyDescent="0.3">
      <c r="C87" s="6" t="str">
        <f>IF(B87="","",IFERROR(INDEX(Inventory!$B:$B,MATCH(B87,Inventory!$A:$A,0)),"Unknown ID"))</f>
        <v/>
      </c>
      <c r="E87" s="9" t="str">
        <f>IF(B87="","",IFERROR(INDEX(Inventory!$H:$H,MATCH(B87,Inventory!$A:$A,0)),""))</f>
        <v/>
      </c>
      <c r="F87" s="9" t="str">
        <f t="shared" si="2"/>
        <v/>
      </c>
    </row>
    <row r="88" spans="3:6" x14ac:dyDescent="0.3">
      <c r="C88" s="6" t="str">
        <f>IF(B88="","",IFERROR(INDEX(Inventory!$B:$B,MATCH(B88,Inventory!$A:$A,0)),"Unknown ID"))</f>
        <v/>
      </c>
      <c r="E88" s="9" t="str">
        <f>IF(B88="","",IFERROR(INDEX(Inventory!$H:$H,MATCH(B88,Inventory!$A:$A,0)),""))</f>
        <v/>
      </c>
      <c r="F88" s="9" t="str">
        <f t="shared" si="2"/>
        <v/>
      </c>
    </row>
    <row r="89" spans="3:6" x14ac:dyDescent="0.3">
      <c r="C89" s="6" t="str">
        <f>IF(B89="","",IFERROR(INDEX(Inventory!$B:$B,MATCH(B89,Inventory!$A:$A,0)),"Unknown ID"))</f>
        <v/>
      </c>
      <c r="E89" s="9" t="str">
        <f>IF(B89="","",IFERROR(INDEX(Inventory!$H:$H,MATCH(B89,Inventory!$A:$A,0)),""))</f>
        <v/>
      </c>
      <c r="F89" s="9" t="str">
        <f t="shared" si="2"/>
        <v/>
      </c>
    </row>
    <row r="90" spans="3:6" x14ac:dyDescent="0.3">
      <c r="C90" s="6" t="str">
        <f>IF(B90="","",IFERROR(INDEX(Inventory!$B:$B,MATCH(B90,Inventory!$A:$A,0)),"Unknown ID"))</f>
        <v/>
      </c>
      <c r="E90" s="9" t="str">
        <f>IF(B90="","",IFERROR(INDEX(Inventory!$H:$H,MATCH(B90,Inventory!$A:$A,0)),""))</f>
        <v/>
      </c>
      <c r="F90" s="9" t="str">
        <f t="shared" si="2"/>
        <v/>
      </c>
    </row>
    <row r="91" spans="3:6" x14ac:dyDescent="0.3">
      <c r="C91" s="6" t="str">
        <f>IF(B91="","",IFERROR(INDEX(Inventory!$B:$B,MATCH(B91,Inventory!$A:$A,0)),"Unknown ID"))</f>
        <v/>
      </c>
      <c r="E91" s="9" t="str">
        <f>IF(B91="","",IFERROR(INDEX(Inventory!$H:$H,MATCH(B91,Inventory!$A:$A,0)),""))</f>
        <v/>
      </c>
      <c r="F91" s="9" t="str">
        <f t="shared" si="2"/>
        <v/>
      </c>
    </row>
    <row r="92" spans="3:6" x14ac:dyDescent="0.3">
      <c r="C92" s="6" t="str">
        <f>IF(B92="","",IFERROR(INDEX(Inventory!$B:$B,MATCH(B92,Inventory!$A:$A,0)),"Unknown ID"))</f>
        <v/>
      </c>
      <c r="E92" s="9" t="str">
        <f>IF(B92="","",IFERROR(INDEX(Inventory!$H:$H,MATCH(B92,Inventory!$A:$A,0)),""))</f>
        <v/>
      </c>
      <c r="F92" s="9" t="str">
        <f t="shared" si="2"/>
        <v/>
      </c>
    </row>
    <row r="93" spans="3:6" x14ac:dyDescent="0.3">
      <c r="C93" s="6" t="str">
        <f>IF(B93="","",IFERROR(INDEX(Inventory!$B:$B,MATCH(B93,Inventory!$A:$A,0)),"Unknown ID"))</f>
        <v/>
      </c>
      <c r="E93" s="9" t="str">
        <f>IF(B93="","",IFERROR(INDEX(Inventory!$H:$H,MATCH(B93,Inventory!$A:$A,0)),""))</f>
        <v/>
      </c>
      <c r="F93" s="9" t="str">
        <f t="shared" si="2"/>
        <v/>
      </c>
    </row>
    <row r="94" spans="3:6" x14ac:dyDescent="0.3">
      <c r="C94" s="6" t="str">
        <f>IF(B94="","",IFERROR(INDEX(Inventory!$B:$B,MATCH(B94,Inventory!$A:$A,0)),"Unknown ID"))</f>
        <v/>
      </c>
      <c r="E94" s="9" t="str">
        <f>IF(B94="","",IFERROR(INDEX(Inventory!$H:$H,MATCH(B94,Inventory!$A:$A,0)),""))</f>
        <v/>
      </c>
      <c r="F94" s="9" t="str">
        <f t="shared" si="2"/>
        <v/>
      </c>
    </row>
    <row r="95" spans="3:6" x14ac:dyDescent="0.3">
      <c r="C95" s="6" t="str">
        <f>IF(B95="","",IFERROR(INDEX(Inventory!$B:$B,MATCH(B95,Inventory!$A:$A,0)),"Unknown ID"))</f>
        <v/>
      </c>
      <c r="E95" s="9" t="str">
        <f>IF(B95="","",IFERROR(INDEX(Inventory!$H:$H,MATCH(B95,Inventory!$A:$A,0)),""))</f>
        <v/>
      </c>
      <c r="F95" s="9" t="str">
        <f t="shared" si="2"/>
        <v/>
      </c>
    </row>
    <row r="96" spans="3:6" x14ac:dyDescent="0.3">
      <c r="C96" s="6" t="str">
        <f>IF(B96="","",IFERROR(INDEX(Inventory!$B:$B,MATCH(B96,Inventory!$A:$A,0)),"Unknown ID"))</f>
        <v/>
      </c>
      <c r="E96" s="9" t="str">
        <f>IF(B96="","",IFERROR(INDEX(Inventory!$H:$H,MATCH(B96,Inventory!$A:$A,0)),""))</f>
        <v/>
      </c>
      <c r="F96" s="9" t="str">
        <f t="shared" si="2"/>
        <v/>
      </c>
    </row>
    <row r="97" spans="3:6" x14ac:dyDescent="0.3">
      <c r="C97" s="6" t="str">
        <f>IF(B97="","",IFERROR(INDEX(Inventory!$B:$B,MATCH(B97,Inventory!$A:$A,0)),"Unknown ID"))</f>
        <v/>
      </c>
      <c r="E97" s="9" t="str">
        <f>IF(B97="","",IFERROR(INDEX(Inventory!$H:$H,MATCH(B97,Inventory!$A:$A,0)),""))</f>
        <v/>
      </c>
      <c r="F97" s="9" t="str">
        <f t="shared" si="2"/>
        <v/>
      </c>
    </row>
    <row r="98" spans="3:6" x14ac:dyDescent="0.3">
      <c r="C98" s="6" t="str">
        <f>IF(B98="","",IFERROR(INDEX(Inventory!$B:$B,MATCH(B98,Inventory!$A:$A,0)),"Unknown ID"))</f>
        <v/>
      </c>
      <c r="E98" s="9" t="str">
        <f>IF(B98="","",IFERROR(INDEX(Inventory!$H:$H,MATCH(B98,Inventory!$A:$A,0)),""))</f>
        <v/>
      </c>
      <c r="F98" s="9" t="str">
        <f t="shared" si="2"/>
        <v/>
      </c>
    </row>
    <row r="99" spans="3:6" x14ac:dyDescent="0.3">
      <c r="C99" s="6" t="str">
        <f>IF(B99="","",IFERROR(INDEX(Inventory!$B:$B,MATCH(B99,Inventory!$A:$A,0)),"Unknown ID"))</f>
        <v/>
      </c>
      <c r="E99" s="9" t="str">
        <f>IF(B99="","",IFERROR(INDEX(Inventory!$H:$H,MATCH(B99,Inventory!$A:$A,0)),""))</f>
        <v/>
      </c>
      <c r="F99" s="9" t="str">
        <f t="shared" si="2"/>
        <v/>
      </c>
    </row>
    <row r="100" spans="3:6" x14ac:dyDescent="0.3">
      <c r="C100" s="6" t="str">
        <f>IF(B100="","",IFERROR(INDEX(Inventory!$B:$B,MATCH(B100,Inventory!$A:$A,0)),"Unknown ID"))</f>
        <v/>
      </c>
      <c r="E100" s="9" t="str">
        <f>IF(B100="","",IFERROR(INDEX(Inventory!$H:$H,MATCH(B100,Inventory!$A:$A,0)),""))</f>
        <v/>
      </c>
      <c r="F100" s="9" t="str">
        <f t="shared" si="2"/>
        <v/>
      </c>
    </row>
    <row r="101" spans="3:6" x14ac:dyDescent="0.3">
      <c r="C101" s="6" t="str">
        <f>IF(B101="","",IFERROR(INDEX(Inventory!$B:$B,MATCH(B101,Inventory!$A:$A,0)),"Unknown ID"))</f>
        <v/>
      </c>
      <c r="E101" s="9" t="str">
        <f>IF(B101="","",IFERROR(INDEX(Inventory!$H:$H,MATCH(B101,Inventory!$A:$A,0)),""))</f>
        <v/>
      </c>
      <c r="F101" s="9" t="str">
        <f t="shared" si="2"/>
        <v/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Inventory!$A$2:$A$51</xm:f>
          </x14:formula1>
          <x14:formula2>
            <xm:f>0</xm:f>
          </x14:formula2>
          <xm:sqref>B2:B101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Inventory</vt:lpstr>
      <vt:lpstr>Stock In</vt:lpstr>
      <vt:lpstr>Stock 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919975580527</cp:lastModifiedBy>
  <cp:revision>1</cp:revision>
  <dcterms:created xsi:type="dcterms:W3CDTF">2026-08-28T04:12:42Z</dcterms:created>
  <dcterms:modified xsi:type="dcterms:W3CDTF">2026-08-28T04:15:12Z</dcterms:modified>
  <dc:language>en-US</dc:language>
</cp:coreProperties>
</file>